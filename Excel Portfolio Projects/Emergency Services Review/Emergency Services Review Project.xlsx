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24226"/>
  <mc:AlternateContent xmlns:mc="http://schemas.openxmlformats.org/markup-compatibility/2006">
    <mc:Choice Requires="x15">
      <x15ac:absPath xmlns:x15ac="http://schemas.microsoft.com/office/spreadsheetml/2010/11/ac" url="https://d.docs.live.net/a1ec44ccee5f08d5/Documents/Data Analysis/Portfolio/Excel Projects/"/>
    </mc:Choice>
  </mc:AlternateContent>
  <xr:revisionPtr revIDLastSave="1034" documentId="8_{88151A71-8DFA-4475-9035-398F879E8711}" xr6:coauthVersionLast="47" xr6:coauthVersionMax="47" xr10:uidLastSave="{0B327160-BC58-4666-909C-3D015F07409F}"/>
  <bookViews>
    <workbookView xWindow="-38510" yWindow="-1790" windowWidth="38620" windowHeight="21100" activeTab="2" xr2:uid="{00000000-000D-0000-FFFF-FFFF00000000}"/>
  </bookViews>
  <sheets>
    <sheet name="Questions" sheetId="4" r:id="rId1"/>
    <sheet name="Raw Data" sheetId="5" r:id="rId2"/>
    <sheet name="Cleaned Data &amp; Pivot Table" sheetId="1" r:id="rId3"/>
    <sheet name="Dashboard" sheetId="2" r:id="rId4"/>
    <sheet name="Insights" sheetId="3" r:id="rId5"/>
  </sheets>
  <definedNames>
    <definedName name="Slicer_Department">#N/A</definedName>
    <definedName name="Slicer_Region">#N/A</definedName>
  </definedNames>
  <calcPr calcId="191028"/>
  <pivotCaches>
    <pivotCache cacheId="3" r:id="rId6"/>
    <pivotCache cacheId="4"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1" i="1" l="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X30" i="1"/>
  <c r="X29" i="1"/>
  <c r="X28" i="1"/>
  <c r="X27" i="1"/>
  <c r="X26" i="1"/>
  <c r="X25" i="1"/>
  <c r="X24" i="1"/>
  <c r="X23" i="1"/>
  <c r="X22" i="1"/>
  <c r="X21" i="1"/>
  <c r="X20" i="1"/>
  <c r="X19" i="1"/>
</calcChain>
</file>

<file path=xl/sharedStrings.xml><?xml version="1.0" encoding="utf-8"?>
<sst xmlns="http://schemas.openxmlformats.org/spreadsheetml/2006/main" count="1662" uniqueCount="55">
  <si>
    <t>Department</t>
  </si>
  <si>
    <t>Region</t>
  </si>
  <si>
    <t>Year</t>
  </si>
  <si>
    <t>Incident Type</t>
  </si>
  <si>
    <t>Cases Reported</t>
  </si>
  <si>
    <t>Cases Resolved</t>
  </si>
  <si>
    <t>Average Response Time (min)</t>
  </si>
  <si>
    <t>Budget (£)</t>
  </si>
  <si>
    <t>Staff Count</t>
  </si>
  <si>
    <t>Public Satisfaction (%)</t>
  </si>
  <si>
    <t>Response Time Group</t>
  </si>
  <si>
    <t>Caseload Group</t>
  </si>
  <si>
    <t>Fire</t>
  </si>
  <si>
    <t>Yorkshire and the Humber</t>
  </si>
  <si>
    <t>Burglary</t>
  </si>
  <si>
    <t>11-15</t>
  </si>
  <si>
    <t>0-200</t>
  </si>
  <si>
    <t>North East</t>
  </si>
  <si>
    <t>Vandalism</t>
  </si>
  <si>
    <t>0-5</t>
  </si>
  <si>
    <t>201-400</t>
  </si>
  <si>
    <t>North West</t>
  </si>
  <si>
    <t>Road Accident</t>
  </si>
  <si>
    <t>16-20</t>
  </si>
  <si>
    <t>601-800</t>
  </si>
  <si>
    <t>Police</t>
  </si>
  <si>
    <t>Scotland</t>
  </si>
  <si>
    <t>6-10</t>
  </si>
  <si>
    <t>Wales</t>
  </si>
  <si>
    <t>Assault</t>
  </si>
  <si>
    <t>801-1000</t>
  </si>
  <si>
    <t>South East</t>
  </si>
  <si>
    <t>Theft</t>
  </si>
  <si>
    <t>Northern Ireland</t>
  </si>
  <si>
    <t>Emergency Call</t>
  </si>
  <si>
    <t>East Midlands</t>
  </si>
  <si>
    <t>West Midlands</t>
  </si>
  <si>
    <t>401-600</t>
  </si>
  <si>
    <t>East of England</t>
  </si>
  <si>
    <t>South West</t>
  </si>
  <si>
    <t>London</t>
  </si>
  <si>
    <t>Row Labels</t>
  </si>
  <si>
    <t>Grand Total</t>
  </si>
  <si>
    <t>Column Labels</t>
  </si>
  <si>
    <t>Count of Incident Type</t>
  </si>
  <si>
    <t>Sum of Budget (£)</t>
  </si>
  <si>
    <t>Average of Average Response Time (min)</t>
  </si>
  <si>
    <t>Sum of Staff Count</t>
  </si>
  <si>
    <t>Average of Public Satisfaction (%)</t>
  </si>
  <si>
    <t xml:space="preserve">Cases Reported </t>
  </si>
  <si>
    <t xml:space="preserve">Cases Resolved </t>
  </si>
  <si>
    <t>Emergency Services Review</t>
  </si>
  <si>
    <t>%</t>
  </si>
  <si>
    <t xml:space="preserve">% </t>
  </si>
  <si>
    <t>Grand 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</si>
</sst>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
    <numFmt numFmtId="165" formatCode="0.0"/>
  </numFmts>
  <fonts count="4" x14ac:knownFonts="1">
    <font>
      <sz val="11"/>
      <color theme="1"/>
      <name val="Calibri"/>
      <family val="2"/>
      <scheme val="minor"/>
    </font>
    <font>
      <b/>
      <sz val="11"/>
      <color theme="1"/>
      <name val="Calibri"/>
      <family val="2"/>
      <scheme val="minor"/>
    </font>
    <font>
      <b/>
      <i/>
      <sz val="89"/>
      <color theme="0"/>
      <name val="Calibri"/>
      <family val="2"/>
      <scheme val="minor"/>
    </font>
    <font>
      <sz val="11"/>
      <color theme="1"/>
      <name val="Calibri"/>
      <family val="2"/>
      <scheme val="minor"/>
    </font>
  </fonts>
  <fills count="4">
    <fill>
      <patternFill patternType="none"/>
    </fill>
    <fill>
      <patternFill patternType="gray125"/>
    </fill>
    <fill>
      <patternFill patternType="solid">
        <fgColor theme="1"/>
        <bgColor indexed="64"/>
      </patternFill>
    </fill>
    <fill>
      <patternFill patternType="solid">
        <fgColor theme="0" tint="-0.34998626667073579"/>
        <bgColor indexed="64"/>
      </patternFill>
    </fill>
  </fills>
  <borders count="3">
    <border>
      <left/>
      <right/>
      <top/>
      <bottom/>
      <diagonal/>
    </border>
    <border>
      <left style="thin">
        <color auto="1"/>
      </left>
      <right style="thin">
        <color auto="1"/>
      </right>
      <top style="thin">
        <color auto="1"/>
      </top>
      <bottom style="thin">
        <color auto="1"/>
      </bottom>
      <diagonal/>
    </border>
    <border>
      <left style="thick">
        <color indexed="64"/>
      </left>
      <right style="thick">
        <color indexed="64"/>
      </right>
      <top style="thick">
        <color indexed="64"/>
      </top>
      <bottom style="thick">
        <color indexed="64"/>
      </bottom>
      <diagonal/>
    </border>
  </borders>
  <cellStyleXfs count="2">
    <xf numFmtId="0" fontId="0" fillId="0" borderId="0"/>
    <xf numFmtId="9" fontId="3" fillId="0" borderId="0" applyFont="0" applyFill="0" applyBorder="0" applyAlignment="0" applyProtection="0"/>
  </cellStyleXfs>
  <cellXfs count="17">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65" fontId="0" fillId="0" borderId="0" xfId="0" applyNumberFormat="1"/>
    <xf numFmtId="2" fontId="0" fillId="0" borderId="0" xfId="0" applyNumberFormat="1"/>
    <xf numFmtId="0" fontId="0" fillId="2" borderId="0" xfId="0" applyFill="1"/>
    <xf numFmtId="0" fontId="1" fillId="2" borderId="0" xfId="0" applyFont="1" applyFill="1"/>
    <xf numFmtId="9" fontId="0" fillId="0" borderId="0" xfId="1" applyFont="1"/>
    <xf numFmtId="9" fontId="0" fillId="0" borderId="0" xfId="0" applyNumberFormat="1"/>
    <xf numFmtId="0" fontId="0" fillId="3" borderId="0" xfId="0" applyFill="1"/>
    <xf numFmtId="0" fontId="0" fillId="0" borderId="0" xfId="0" applyAlignment="1">
      <alignment horizontal="right"/>
    </xf>
    <xf numFmtId="0" fontId="1" fillId="0" borderId="2" xfId="0" applyFont="1" applyBorder="1" applyAlignment="1">
      <alignment horizontal="right"/>
    </xf>
    <xf numFmtId="0" fontId="0" fillId="0" borderId="2" xfId="0" applyBorder="1" applyAlignment="1">
      <alignment horizontal="right" vertical="center"/>
    </xf>
    <xf numFmtId="0" fontId="2" fillId="2" borderId="0" xfId="0" applyFont="1" applyFill="1" applyAlignment="1">
      <alignment horizontal="left" vertical="center"/>
    </xf>
  </cellXfs>
  <cellStyles count="2">
    <cellStyle name="Normal" xfId="0" builtinId="0"/>
    <cellStyle name="Percent" xfId="1" builtinId="5"/>
  </cellStyles>
  <dxfs count="10">
    <dxf>
      <numFmt numFmtId="165" formatCode="0.0"/>
    </dxf>
    <dxf>
      <numFmt numFmtId="2" formatCode="0.00"/>
    </dxf>
    <dxf>
      <numFmt numFmtId="165" formatCode="0.0"/>
    </dxf>
    <dxf>
      <numFmt numFmtId="165" formatCode="0.0"/>
    </dxf>
    <dxf>
      <numFmt numFmtId="165" formatCode="0.0"/>
    </dxf>
    <dxf>
      <numFmt numFmtId="165" formatCode="0.0"/>
    </dxf>
    <dxf>
      <numFmt numFmtId="165" formatCode="0.0"/>
    </dxf>
    <dxf>
      <alignment horizontal="right"/>
    </dxf>
    <dxf>
      <numFmt numFmtId="164" formatCode="&quot;£&quot;#,##0"/>
    </dxf>
    <dxf>
      <numFmt numFmtId="165" formatCode="0.0"/>
    </dxf>
  </dxfs>
  <tableStyles count="1" defaultTableStyle="TableStyleMedium2" defaultPivotStyle="PivotStyleLight16">
    <tableStyle name="Slicer Style 1" pivot="0" table="0" count="1" xr9:uid="{7E550474-83C2-4F44-851B-F0BD8880561B}"/>
  </tableStyles>
  <extLst>
    <ext xmlns:x14="http://schemas.microsoft.com/office/spreadsheetml/2009/9/main" uri="{46F421CA-312F-682f-3DD2-61675219B42D}">
      <x14:dxfs count="1">
        <dxf>
          <font>
            <b/>
            <i val="0"/>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 Services Review Project.xlsx]Cleaned Data &amp; Pivot Table!PivotTable4</c:name>
    <c:fmtId val="19"/>
  </c:pivotSource>
  <c:chart>
    <c:title>
      <c:tx>
        <c:rich>
          <a:bodyPr rot="0" spcFirstLastPara="1" vertOverflow="ellipsis" vert="horz" wrap="square" anchor="ctr" anchorCtr="1"/>
          <a:lstStyle/>
          <a:p>
            <a:pPr>
              <a:defRPr sz="1400" b="1" i="1" u="sng" strike="noStrike" kern="1200" spc="0" baseline="0">
                <a:solidFill>
                  <a:schemeClr val="bg1"/>
                </a:solidFill>
                <a:latin typeface="+mn-lt"/>
                <a:ea typeface="+mn-ea"/>
                <a:cs typeface="+mn-cs"/>
              </a:defRPr>
            </a:pPr>
            <a:r>
              <a:rPr lang="en-US" i="1" u="sng"/>
              <a:t>Department Budget</a:t>
            </a:r>
          </a:p>
        </c:rich>
      </c:tx>
      <c:overlay val="0"/>
      <c:spPr>
        <a:noFill/>
        <a:ln>
          <a:noFill/>
        </a:ln>
        <a:effectLst/>
      </c:spPr>
      <c:txPr>
        <a:bodyPr rot="0" spcFirstLastPara="1" vertOverflow="ellipsis" vert="horz" wrap="square" anchor="ctr" anchorCtr="1"/>
        <a:lstStyle/>
        <a:p>
          <a:pPr>
            <a:defRPr sz="1400" b="1" i="1" u="sng"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60000"/>
              <a:lumOff val="40000"/>
            </a:schemeClr>
          </a:solidFill>
          <a:ln>
            <a:solidFill>
              <a:schemeClr val="tx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60000"/>
              <a:lumOff val="40000"/>
            </a:schemeClr>
          </a:solidFill>
          <a:ln>
            <a:solidFill>
              <a:schemeClr val="tx2">
                <a:lumMod val="60000"/>
                <a:lumOff val="40000"/>
              </a:schemeClr>
            </a:solidFill>
          </a:ln>
          <a:effectLst/>
        </c:spPr>
      </c:pivotFmt>
      <c:pivotFmt>
        <c:idx val="7"/>
        <c:spPr>
          <a:solidFill>
            <a:srgbClr val="FFFF00"/>
          </a:solidFill>
          <a:ln w="28575" cap="rnd">
            <a:solidFill>
              <a:srgbClr val="FFFF00"/>
            </a:solidFill>
            <a:round/>
          </a:ln>
          <a:effectLst/>
        </c:spPr>
        <c:marker>
          <c:symbol val="none"/>
        </c:marker>
      </c:pivotFmt>
      <c:pivotFmt>
        <c:idx val="8"/>
        <c:spPr>
          <a:solidFill>
            <a:srgbClr val="FFFF00"/>
          </a:solidFill>
          <a:ln w="28575" cap="rnd">
            <a:solidFill>
              <a:srgbClr val="FFFF00"/>
            </a:solidFill>
            <a:round/>
          </a:ln>
          <a:effectLst/>
        </c:spPr>
        <c:marker>
          <c:symbol val="none"/>
        </c:marker>
      </c:pivotFmt>
    </c:pivotFmts>
    <c:plotArea>
      <c:layout>
        <c:manualLayout>
          <c:layoutTarget val="inner"/>
          <c:xMode val="edge"/>
          <c:yMode val="edge"/>
          <c:x val="0.10191250287262479"/>
          <c:y val="0.27067478186848265"/>
          <c:w val="0.88119041571416479"/>
          <c:h val="0.42432381357735688"/>
        </c:manualLayout>
      </c:layout>
      <c:barChart>
        <c:barDir val="col"/>
        <c:grouping val="clustered"/>
        <c:varyColors val="0"/>
        <c:ser>
          <c:idx val="0"/>
          <c:order val="0"/>
          <c:tx>
            <c:strRef>
              <c:f>'Cleaned Data &amp; Pivot Table'!$U$1:$U$2</c:f>
              <c:strCache>
                <c:ptCount val="1"/>
                <c:pt idx="0">
                  <c:v>Fire</c:v>
                </c:pt>
              </c:strCache>
            </c:strRef>
          </c:tx>
          <c:spPr>
            <a:solidFill>
              <a:srgbClr val="FF0000"/>
            </a:solidFill>
            <a:ln>
              <a:solidFill>
                <a:srgbClr val="FF0000"/>
              </a:solidFill>
            </a:ln>
            <a:effectLst/>
          </c:spPr>
          <c:invertIfNegative val="0"/>
          <c:dPt>
            <c:idx val="4"/>
            <c:invertIfNegative val="0"/>
            <c:bubble3D val="0"/>
            <c:spPr>
              <a:solidFill>
                <a:srgbClr val="FFFF00"/>
              </a:solidFill>
              <a:ln w="28575" cap="rnd">
                <a:solidFill>
                  <a:srgbClr val="FFFF00"/>
                </a:solidFill>
                <a:round/>
              </a:ln>
              <a:effectLst/>
            </c:spPr>
            <c:extLst>
              <c:ext xmlns:c16="http://schemas.microsoft.com/office/drawing/2014/chart" uri="{C3380CC4-5D6E-409C-BE32-E72D297353CC}">
                <c16:uniqueId val="{00000008-3771-450E-985A-CCC952BB68EC}"/>
              </c:ext>
            </c:extLst>
          </c:dPt>
          <c:cat>
            <c:strRef>
              <c:f>'Cleaned Data &amp; Pivot Table'!$T$3:$T$15</c:f>
              <c:strCache>
                <c:ptCount val="12"/>
                <c:pt idx="0">
                  <c:v>East Midlands</c:v>
                </c:pt>
                <c:pt idx="1">
                  <c:v>East of England</c:v>
                </c:pt>
                <c:pt idx="2">
                  <c:v>London</c:v>
                </c:pt>
                <c:pt idx="3">
                  <c:v>North East</c:v>
                </c:pt>
                <c:pt idx="4">
                  <c:v>North West</c:v>
                </c:pt>
                <c:pt idx="5">
                  <c:v>Northern Ireland</c:v>
                </c:pt>
                <c:pt idx="6">
                  <c:v>Scotland</c:v>
                </c:pt>
                <c:pt idx="7">
                  <c:v>South East</c:v>
                </c:pt>
                <c:pt idx="8">
                  <c:v>South West</c:v>
                </c:pt>
                <c:pt idx="9">
                  <c:v>Wales</c:v>
                </c:pt>
                <c:pt idx="10">
                  <c:v>West Midlands</c:v>
                </c:pt>
                <c:pt idx="11">
                  <c:v>Yorkshire and the Humber</c:v>
                </c:pt>
              </c:strCache>
            </c:strRef>
          </c:cat>
          <c:val>
            <c:numRef>
              <c:f>'Cleaned Data &amp; Pivot Table'!$U$3:$U$15</c:f>
              <c:numCache>
                <c:formatCode>"£"#,##0</c:formatCode>
                <c:ptCount val="12"/>
                <c:pt idx="0">
                  <c:v>1994522</c:v>
                </c:pt>
                <c:pt idx="1">
                  <c:v>8698845</c:v>
                </c:pt>
                <c:pt idx="2">
                  <c:v>6097260</c:v>
                </c:pt>
                <c:pt idx="3">
                  <c:v>12593503</c:v>
                </c:pt>
                <c:pt idx="4">
                  <c:v>14437408</c:v>
                </c:pt>
                <c:pt idx="5">
                  <c:v>5119326</c:v>
                </c:pt>
                <c:pt idx="6">
                  <c:v>10199079</c:v>
                </c:pt>
                <c:pt idx="7">
                  <c:v>11446983</c:v>
                </c:pt>
                <c:pt idx="8">
                  <c:v>9279480</c:v>
                </c:pt>
                <c:pt idx="9">
                  <c:v>9901289</c:v>
                </c:pt>
                <c:pt idx="10">
                  <c:v>10768098</c:v>
                </c:pt>
                <c:pt idx="11">
                  <c:v>8588222</c:v>
                </c:pt>
              </c:numCache>
            </c:numRef>
          </c:val>
          <c:extLst>
            <c:ext xmlns:c16="http://schemas.microsoft.com/office/drawing/2014/chart" uri="{C3380CC4-5D6E-409C-BE32-E72D297353CC}">
              <c16:uniqueId val="{00000000-3771-450E-985A-CCC952BB68EC}"/>
            </c:ext>
          </c:extLst>
        </c:ser>
        <c:ser>
          <c:idx val="1"/>
          <c:order val="1"/>
          <c:tx>
            <c:strRef>
              <c:f>'Cleaned Data &amp; Pivot Table'!$V$1:$V$2</c:f>
              <c:strCache>
                <c:ptCount val="1"/>
                <c:pt idx="0">
                  <c:v>Police</c:v>
                </c:pt>
              </c:strCache>
            </c:strRef>
          </c:tx>
          <c:spPr>
            <a:solidFill>
              <a:schemeClr val="tx2">
                <a:lumMod val="60000"/>
                <a:lumOff val="40000"/>
              </a:schemeClr>
            </a:solidFill>
            <a:ln>
              <a:solidFill>
                <a:schemeClr val="tx2">
                  <a:lumMod val="60000"/>
                  <a:lumOff val="40000"/>
                </a:schemeClr>
              </a:solidFill>
            </a:ln>
            <a:effectLst/>
          </c:spPr>
          <c:invertIfNegative val="0"/>
          <c:dPt>
            <c:idx val="6"/>
            <c:invertIfNegative val="0"/>
            <c:bubble3D val="0"/>
            <c:spPr>
              <a:solidFill>
                <a:srgbClr val="FFFF00"/>
              </a:solidFill>
              <a:ln w="28575" cap="rnd">
                <a:solidFill>
                  <a:srgbClr val="FFFF00"/>
                </a:solidFill>
                <a:round/>
              </a:ln>
              <a:effectLst/>
            </c:spPr>
            <c:extLst>
              <c:ext xmlns:c16="http://schemas.microsoft.com/office/drawing/2014/chart" uri="{C3380CC4-5D6E-409C-BE32-E72D297353CC}">
                <c16:uniqueId val="{00000003-746D-4BAE-AF95-CDBA48C5A684}"/>
              </c:ext>
            </c:extLst>
          </c:dPt>
          <c:cat>
            <c:strRef>
              <c:f>'Cleaned Data &amp; Pivot Table'!$T$3:$T$15</c:f>
              <c:strCache>
                <c:ptCount val="12"/>
                <c:pt idx="0">
                  <c:v>East Midlands</c:v>
                </c:pt>
                <c:pt idx="1">
                  <c:v>East of England</c:v>
                </c:pt>
                <c:pt idx="2">
                  <c:v>London</c:v>
                </c:pt>
                <c:pt idx="3">
                  <c:v>North East</c:v>
                </c:pt>
                <c:pt idx="4">
                  <c:v>North West</c:v>
                </c:pt>
                <c:pt idx="5">
                  <c:v>Northern Ireland</c:v>
                </c:pt>
                <c:pt idx="6">
                  <c:v>Scotland</c:v>
                </c:pt>
                <c:pt idx="7">
                  <c:v>South East</c:v>
                </c:pt>
                <c:pt idx="8">
                  <c:v>South West</c:v>
                </c:pt>
                <c:pt idx="9">
                  <c:v>Wales</c:v>
                </c:pt>
                <c:pt idx="10">
                  <c:v>West Midlands</c:v>
                </c:pt>
                <c:pt idx="11">
                  <c:v>Yorkshire and the Humber</c:v>
                </c:pt>
              </c:strCache>
            </c:strRef>
          </c:cat>
          <c:val>
            <c:numRef>
              <c:f>'Cleaned Data &amp; Pivot Table'!$V$3:$V$15</c:f>
              <c:numCache>
                <c:formatCode>"£"#,##0</c:formatCode>
                <c:ptCount val="12"/>
                <c:pt idx="0">
                  <c:v>6939249</c:v>
                </c:pt>
                <c:pt idx="1">
                  <c:v>10509282</c:v>
                </c:pt>
                <c:pt idx="2">
                  <c:v>7377352</c:v>
                </c:pt>
                <c:pt idx="3">
                  <c:v>6523923</c:v>
                </c:pt>
                <c:pt idx="4">
                  <c:v>11246494</c:v>
                </c:pt>
                <c:pt idx="5">
                  <c:v>4714345</c:v>
                </c:pt>
                <c:pt idx="6">
                  <c:v>12244545</c:v>
                </c:pt>
                <c:pt idx="7">
                  <c:v>8508522</c:v>
                </c:pt>
                <c:pt idx="8">
                  <c:v>4994636</c:v>
                </c:pt>
                <c:pt idx="9">
                  <c:v>11490396</c:v>
                </c:pt>
                <c:pt idx="10">
                  <c:v>11336181</c:v>
                </c:pt>
                <c:pt idx="11">
                  <c:v>4843216</c:v>
                </c:pt>
              </c:numCache>
            </c:numRef>
          </c:val>
          <c:extLst>
            <c:ext xmlns:c16="http://schemas.microsoft.com/office/drawing/2014/chart" uri="{C3380CC4-5D6E-409C-BE32-E72D297353CC}">
              <c16:uniqueId val="{0000000B-BE73-4ED6-8B51-E2D7182B9DD9}"/>
            </c:ext>
          </c:extLst>
        </c:ser>
        <c:dLbls>
          <c:showLegendKey val="0"/>
          <c:showVal val="0"/>
          <c:showCatName val="0"/>
          <c:showSerName val="0"/>
          <c:showPercent val="0"/>
          <c:showBubbleSize val="0"/>
        </c:dLbls>
        <c:gapWidth val="150"/>
        <c:axId val="803190944"/>
        <c:axId val="434307952"/>
      </c:barChart>
      <c:catAx>
        <c:axId val="803190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34307952"/>
        <c:crosses val="autoZero"/>
        <c:auto val="1"/>
        <c:lblAlgn val="ctr"/>
        <c:lblOffset val="100"/>
        <c:noMultiLvlLbl val="0"/>
      </c:catAx>
      <c:valAx>
        <c:axId val="43430795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031909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bg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 Services Review Project.xlsx]Cleaned Data &amp; Pivot Table!PivotTable5</c:name>
    <c:fmtId val="3"/>
  </c:pivotSource>
  <c:chart>
    <c:title>
      <c:tx>
        <c:rich>
          <a:bodyPr rot="0" spcFirstLastPara="1" vertOverflow="ellipsis" vert="horz" wrap="square" anchor="ctr" anchorCtr="1"/>
          <a:lstStyle/>
          <a:p>
            <a:pPr>
              <a:defRPr sz="1400" b="1" i="1" u="sng" strike="noStrike" kern="1200" spc="0" baseline="0">
                <a:solidFill>
                  <a:schemeClr val="bg1"/>
                </a:solidFill>
                <a:latin typeface="+mn-lt"/>
                <a:ea typeface="+mn-ea"/>
                <a:cs typeface="+mn-cs"/>
              </a:defRPr>
            </a:pPr>
            <a:r>
              <a:rPr lang="en-US" i="1" u="sng"/>
              <a:t>AVG Response Time (min)</a:t>
            </a:r>
          </a:p>
        </c:rich>
      </c:tx>
      <c:overlay val="0"/>
      <c:spPr>
        <a:noFill/>
        <a:ln>
          <a:noFill/>
        </a:ln>
        <a:effectLst/>
      </c:spPr>
      <c:txPr>
        <a:bodyPr rot="0" spcFirstLastPara="1" vertOverflow="ellipsis" vert="horz" wrap="square" anchor="ctr" anchorCtr="1"/>
        <a:lstStyle/>
        <a:p>
          <a:pPr>
            <a:defRPr sz="1400" b="1" i="1" u="sng"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5400000" spcFirstLastPara="1" vertOverflow="ellipsis" wrap="square" anchor="ctr" anchorCtr="1"/>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60000"/>
              <a:lumOff val="40000"/>
            </a:schemeClr>
          </a:solidFill>
          <a:ln>
            <a:noFill/>
          </a:ln>
          <a:effectLst/>
        </c:spPr>
        <c:marker>
          <c:symbol val="none"/>
        </c:marker>
        <c:dLbl>
          <c:idx val="0"/>
          <c:spPr>
            <a:noFill/>
            <a:ln>
              <a:noFill/>
            </a:ln>
            <a:effectLst/>
          </c:spPr>
          <c:txPr>
            <a:bodyPr rot="-5400000" spcFirstLastPara="1" vertOverflow="ellipsis" wrap="square" anchor="ctr" anchorCtr="1"/>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60000"/>
              <a:lumOff val="40000"/>
            </a:schemeClr>
          </a:solidFill>
          <a:ln>
            <a:noFill/>
          </a:ln>
          <a:effectLst/>
        </c:spPr>
      </c:pivotFmt>
      <c:pivotFmt>
        <c:idx val="7"/>
        <c:spPr>
          <a:solidFill>
            <a:srgbClr val="FF0000"/>
          </a:solidFill>
          <a:ln>
            <a:noFill/>
          </a:ln>
          <a:effectLst/>
        </c:spPr>
      </c:pivotFmt>
      <c:pivotFmt>
        <c:idx val="8"/>
        <c:spPr>
          <a:solidFill>
            <a:schemeClr val="tx2">
              <a:lumMod val="60000"/>
              <a:lumOff val="40000"/>
            </a:schemeClr>
          </a:solidFill>
          <a:ln>
            <a:noFill/>
          </a:ln>
          <a:effectLst/>
        </c:spPr>
      </c:pivotFmt>
      <c:pivotFmt>
        <c:idx val="9"/>
        <c:spPr>
          <a:solidFill>
            <a:srgbClr val="FF0000"/>
          </a:solidFill>
          <a:ln>
            <a:noFill/>
          </a:ln>
          <a:effectLst/>
        </c:spPr>
      </c:pivotFmt>
      <c:pivotFmt>
        <c:idx val="10"/>
        <c:spPr>
          <a:solidFill>
            <a:srgbClr val="FFFF00"/>
          </a:solidFill>
          <a:ln>
            <a:noFill/>
          </a:ln>
          <a:effectLst/>
        </c:spPr>
      </c:pivotFmt>
      <c:pivotFmt>
        <c:idx val="11"/>
        <c:spPr>
          <a:solidFill>
            <a:srgbClr val="FFFF00"/>
          </a:solidFill>
          <a:ln>
            <a:noFill/>
          </a:ln>
          <a:effectLst/>
        </c:spPr>
      </c:pivotFmt>
    </c:pivotFmts>
    <c:plotArea>
      <c:layout/>
      <c:barChart>
        <c:barDir val="col"/>
        <c:grouping val="clustered"/>
        <c:varyColors val="0"/>
        <c:ser>
          <c:idx val="0"/>
          <c:order val="0"/>
          <c:tx>
            <c:strRef>
              <c:f>'Cleaned Data &amp; Pivot Table'!$P$43:$P$44</c:f>
              <c:strCache>
                <c:ptCount val="1"/>
                <c:pt idx="0">
                  <c:v>Fire</c:v>
                </c:pt>
              </c:strCache>
            </c:strRef>
          </c:tx>
          <c:spPr>
            <a:solidFill>
              <a:srgbClr val="FF0000"/>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5-FFC0-480F-9331-1B20903DFBAE}"/>
              </c:ext>
            </c:extLst>
          </c:dPt>
          <c:dPt>
            <c:idx val="4"/>
            <c:invertIfNegative val="0"/>
            <c:bubble3D val="0"/>
            <c:spPr>
              <a:solidFill>
                <a:srgbClr val="FFFF00"/>
              </a:solidFill>
              <a:ln>
                <a:noFill/>
              </a:ln>
              <a:effectLst/>
            </c:spPr>
            <c:extLst>
              <c:ext xmlns:c16="http://schemas.microsoft.com/office/drawing/2014/chart" uri="{C3380CC4-5D6E-409C-BE32-E72D297353CC}">
                <c16:uniqueId val="{0000000B-F16F-48E6-803E-A2C6E00E3EC5}"/>
              </c:ext>
            </c:extLst>
          </c:dPt>
          <c:dLbls>
            <c:spPr>
              <a:noFill/>
              <a:ln>
                <a:noFill/>
              </a:ln>
              <a:effectLst/>
            </c:spPr>
            <c:txPr>
              <a:bodyPr rot="-5400000" spcFirstLastPara="1" vertOverflow="ellipsis" wrap="square" anchor="ctr" anchorCtr="1"/>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'Cleaned Data &amp; Pivot Table'!$O$45:$O$57</c:f>
              <c:strCache>
                <c:ptCount val="12"/>
                <c:pt idx="0">
                  <c:v>East Midlands</c:v>
                </c:pt>
                <c:pt idx="1">
                  <c:v>East of England</c:v>
                </c:pt>
                <c:pt idx="2">
                  <c:v>London</c:v>
                </c:pt>
                <c:pt idx="3">
                  <c:v>North East</c:v>
                </c:pt>
                <c:pt idx="4">
                  <c:v>North West</c:v>
                </c:pt>
                <c:pt idx="5">
                  <c:v>Northern Ireland</c:v>
                </c:pt>
                <c:pt idx="6">
                  <c:v>Scotland</c:v>
                </c:pt>
                <c:pt idx="7">
                  <c:v>South East</c:v>
                </c:pt>
                <c:pt idx="8">
                  <c:v>South West</c:v>
                </c:pt>
                <c:pt idx="9">
                  <c:v>Wales</c:v>
                </c:pt>
                <c:pt idx="10">
                  <c:v>West Midlands</c:v>
                </c:pt>
                <c:pt idx="11">
                  <c:v>Yorkshire and the Humber</c:v>
                </c:pt>
              </c:strCache>
            </c:strRef>
          </c:cat>
          <c:val>
            <c:numRef>
              <c:f>'Cleaned Data &amp; Pivot Table'!$P$45:$P$57</c:f>
              <c:numCache>
                <c:formatCode>0.0</c:formatCode>
                <c:ptCount val="12"/>
                <c:pt idx="0">
                  <c:v>14.2</c:v>
                </c:pt>
                <c:pt idx="1">
                  <c:v>12.685714285714287</c:v>
                </c:pt>
                <c:pt idx="2">
                  <c:v>9.86</c:v>
                </c:pt>
                <c:pt idx="3">
                  <c:v>10.68</c:v>
                </c:pt>
                <c:pt idx="4">
                  <c:v>8.7555555555555564</c:v>
                </c:pt>
                <c:pt idx="5">
                  <c:v>12.725000000000001</c:v>
                </c:pt>
                <c:pt idx="6">
                  <c:v>11.274999999999999</c:v>
                </c:pt>
                <c:pt idx="7">
                  <c:v>9.9500000000000011</c:v>
                </c:pt>
                <c:pt idx="8">
                  <c:v>13.483333333333334</c:v>
                </c:pt>
                <c:pt idx="9">
                  <c:v>13.328571428571427</c:v>
                </c:pt>
                <c:pt idx="10">
                  <c:v>12.542857142857144</c:v>
                </c:pt>
                <c:pt idx="11">
                  <c:v>12.785714285714286</c:v>
                </c:pt>
              </c:numCache>
            </c:numRef>
          </c:val>
          <c:extLst>
            <c:ext xmlns:c16="http://schemas.microsoft.com/office/drawing/2014/chart" uri="{C3380CC4-5D6E-409C-BE32-E72D297353CC}">
              <c16:uniqueId val="{00000000-FFC0-480F-9331-1B20903DFBAE}"/>
            </c:ext>
          </c:extLst>
        </c:ser>
        <c:ser>
          <c:idx val="1"/>
          <c:order val="1"/>
          <c:tx>
            <c:strRef>
              <c:f>'Cleaned Data &amp; Pivot Table'!$Q$43:$Q$44</c:f>
              <c:strCache>
                <c:ptCount val="1"/>
                <c:pt idx="0">
                  <c:v>Police</c:v>
                </c:pt>
              </c:strCache>
            </c:strRef>
          </c:tx>
          <c:spPr>
            <a:solidFill>
              <a:schemeClr val="tx2">
                <a:lumMod val="60000"/>
                <a:lumOff val="40000"/>
              </a:schemeClr>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5-C978-4ED2-8118-7045212135E7}"/>
              </c:ext>
            </c:extLst>
          </c:dPt>
          <c:dPt>
            <c:idx val="2"/>
            <c:invertIfNegative val="0"/>
            <c:bubble3D val="0"/>
            <c:spPr>
              <a:solidFill>
                <a:schemeClr val="tx2">
                  <a:lumMod val="60000"/>
                  <a:lumOff val="40000"/>
                </a:schemeClr>
              </a:solidFill>
              <a:ln>
                <a:noFill/>
              </a:ln>
              <a:effectLst/>
            </c:spPr>
            <c:extLst>
              <c:ext xmlns:c16="http://schemas.microsoft.com/office/drawing/2014/chart" uri="{C3380CC4-5D6E-409C-BE32-E72D297353CC}">
                <c16:uniqueId val="{00000007-C978-4ED2-8118-7045212135E7}"/>
              </c:ext>
            </c:extLst>
          </c:dPt>
          <c:dLbls>
            <c:spPr>
              <a:noFill/>
              <a:ln>
                <a:noFill/>
              </a:ln>
              <a:effectLst/>
            </c:spPr>
            <c:txPr>
              <a:bodyPr rot="-5400000" spcFirstLastPara="1" vertOverflow="ellipsis" wrap="square" anchor="ctr" anchorCtr="1"/>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'Cleaned Data &amp; Pivot Table'!$O$45:$O$57</c:f>
              <c:strCache>
                <c:ptCount val="12"/>
                <c:pt idx="0">
                  <c:v>East Midlands</c:v>
                </c:pt>
                <c:pt idx="1">
                  <c:v>East of England</c:v>
                </c:pt>
                <c:pt idx="2">
                  <c:v>London</c:v>
                </c:pt>
                <c:pt idx="3">
                  <c:v>North East</c:v>
                </c:pt>
                <c:pt idx="4">
                  <c:v>North West</c:v>
                </c:pt>
                <c:pt idx="5">
                  <c:v>Northern Ireland</c:v>
                </c:pt>
                <c:pt idx="6">
                  <c:v>Scotland</c:v>
                </c:pt>
                <c:pt idx="7">
                  <c:v>South East</c:v>
                </c:pt>
                <c:pt idx="8">
                  <c:v>South West</c:v>
                </c:pt>
                <c:pt idx="9">
                  <c:v>Wales</c:v>
                </c:pt>
                <c:pt idx="10">
                  <c:v>West Midlands</c:v>
                </c:pt>
                <c:pt idx="11">
                  <c:v>Yorkshire and the Humber</c:v>
                </c:pt>
              </c:strCache>
            </c:strRef>
          </c:cat>
          <c:val>
            <c:numRef>
              <c:f>'Cleaned Data &amp; Pivot Table'!$Q$45:$Q$57</c:f>
              <c:numCache>
                <c:formatCode>0.0</c:formatCode>
                <c:ptCount val="12"/>
                <c:pt idx="0">
                  <c:v>7.8166666666666673</c:v>
                </c:pt>
                <c:pt idx="1">
                  <c:v>12.588888888888889</c:v>
                </c:pt>
                <c:pt idx="2">
                  <c:v>14.5</c:v>
                </c:pt>
                <c:pt idx="3">
                  <c:v>13.466666666666669</c:v>
                </c:pt>
                <c:pt idx="4">
                  <c:v>8.7375000000000007</c:v>
                </c:pt>
                <c:pt idx="5">
                  <c:v>10.066666666666666</c:v>
                </c:pt>
                <c:pt idx="6">
                  <c:v>7.9285714285714288</c:v>
                </c:pt>
                <c:pt idx="7">
                  <c:v>11.614285714285716</c:v>
                </c:pt>
                <c:pt idx="8">
                  <c:v>9.4500000000000011</c:v>
                </c:pt>
                <c:pt idx="9">
                  <c:v>10.757142857142858</c:v>
                </c:pt>
                <c:pt idx="10">
                  <c:v>9.5125000000000011</c:v>
                </c:pt>
                <c:pt idx="11">
                  <c:v>13.233333333333334</c:v>
                </c:pt>
              </c:numCache>
            </c:numRef>
          </c:val>
          <c:extLst>
            <c:ext xmlns:c16="http://schemas.microsoft.com/office/drawing/2014/chart" uri="{C3380CC4-5D6E-409C-BE32-E72D297353CC}">
              <c16:uniqueId val="{00000011-F16F-48E6-803E-A2C6E00E3EC5}"/>
            </c:ext>
          </c:extLst>
        </c:ser>
        <c:dLbls>
          <c:showLegendKey val="0"/>
          <c:showVal val="0"/>
          <c:showCatName val="0"/>
          <c:showSerName val="0"/>
          <c:showPercent val="0"/>
          <c:showBubbleSize val="0"/>
        </c:dLbls>
        <c:gapWidth val="219"/>
        <c:overlap val="-27"/>
        <c:axId val="971348624"/>
        <c:axId val="434485552"/>
      </c:barChart>
      <c:catAx>
        <c:axId val="9713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434485552"/>
        <c:crosses val="autoZero"/>
        <c:auto val="1"/>
        <c:lblAlgn val="ctr"/>
        <c:lblOffset val="100"/>
        <c:noMultiLvlLbl val="0"/>
      </c:catAx>
      <c:valAx>
        <c:axId val="434485552"/>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713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 Services Review Project.xlsx]Cleaned Data &amp; Pivot Table!PivotTable3</c:name>
    <c:fmtId val="7"/>
  </c:pivotSource>
  <c:chart>
    <c:title>
      <c:tx>
        <c:rich>
          <a:bodyPr rot="0" spcFirstLastPara="1" vertOverflow="ellipsis" vert="horz" wrap="square" anchor="ctr" anchorCtr="1"/>
          <a:lstStyle/>
          <a:p>
            <a:pPr>
              <a:defRPr sz="1400" b="1" i="1" u="sng" strike="noStrike" kern="1200" spc="0" baseline="0">
                <a:solidFill>
                  <a:schemeClr val="bg1"/>
                </a:solidFill>
                <a:latin typeface="+mn-lt"/>
                <a:ea typeface="+mn-ea"/>
                <a:cs typeface="+mn-cs"/>
              </a:defRPr>
            </a:pPr>
            <a:r>
              <a:rPr lang="en-US" i="1" u="sng"/>
              <a:t>Number Of Incident Types</a:t>
            </a:r>
          </a:p>
        </c:rich>
      </c:tx>
      <c:overlay val="0"/>
      <c:spPr>
        <a:noFill/>
        <a:ln>
          <a:noFill/>
        </a:ln>
        <a:effectLst/>
      </c:spPr>
      <c:txPr>
        <a:bodyPr rot="0" spcFirstLastPara="1" vertOverflow="ellipsis" vert="horz" wrap="square" anchor="ctr" anchorCtr="1"/>
        <a:lstStyle/>
        <a:p>
          <a:pPr>
            <a:defRPr sz="1400" b="1" i="1" u="sng"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a:ln>
            <a:noFill/>
          </a:ln>
          <a:effectLst/>
        </c:spPr>
        <c:dLbl>
          <c:idx val="0"/>
          <c:layout>
            <c:manualLayout>
              <c:x val="-6.9873736246017307E-17"/>
              <c:y val="-6.5681444991789817E-3"/>
            </c:manualLayout>
          </c:layout>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pivotFmt>
      <c:pivotFmt>
        <c:idx val="8"/>
        <c:spPr>
          <a:solidFill>
            <a:srgbClr val="FFFF00"/>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'Cleaned Data &amp; Pivot Table'!$P$31:$P$32</c:f>
              <c:strCache>
                <c:ptCount val="1"/>
                <c:pt idx="0">
                  <c:v>Fire</c:v>
                </c:pt>
              </c:strCache>
            </c:strRef>
          </c:tx>
          <c:spPr>
            <a:solidFill>
              <a:srgbClr val="FF0000"/>
            </a:solidFill>
            <a:ln>
              <a:noFill/>
            </a:ln>
            <a:effectLst/>
          </c:spPr>
          <c:invertIfNegative val="0"/>
          <c:dPt>
            <c:idx val="3"/>
            <c:invertIfNegative val="0"/>
            <c:bubble3D val="0"/>
            <c:spPr>
              <a:solidFill>
                <a:srgbClr val="FFFF00"/>
              </a:solidFill>
              <a:ln>
                <a:noFill/>
              </a:ln>
              <a:effectLst/>
            </c:spPr>
            <c:extLst>
              <c:ext xmlns:c16="http://schemas.microsoft.com/office/drawing/2014/chart" uri="{C3380CC4-5D6E-409C-BE32-E72D297353CC}">
                <c16:uniqueId val="{00000004-0351-4773-8536-0A643AC6742A}"/>
              </c:ext>
            </c:extLst>
          </c:dPt>
          <c:dLbls>
            <c:dLbl>
              <c:idx val="3"/>
              <c:layout>
                <c:manualLayout>
                  <c:x val="-6.9873736246017307E-17"/>
                  <c:y val="-6.5681444991789817E-3"/>
                </c:manualLayout>
              </c:layout>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351-4773-8536-0A643AC6742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'Cleaned Data &amp; Pivot Table'!$O$33:$O$40</c:f>
              <c:strCache>
                <c:ptCount val="7"/>
                <c:pt idx="0">
                  <c:v>Assault</c:v>
                </c:pt>
                <c:pt idx="1">
                  <c:v>Burglary</c:v>
                </c:pt>
                <c:pt idx="2">
                  <c:v>Emergency Call</c:v>
                </c:pt>
                <c:pt idx="3">
                  <c:v>Fire</c:v>
                </c:pt>
                <c:pt idx="4">
                  <c:v>Road Accident</c:v>
                </c:pt>
                <c:pt idx="5">
                  <c:v>Theft</c:v>
                </c:pt>
                <c:pt idx="6">
                  <c:v>Vandalism</c:v>
                </c:pt>
              </c:strCache>
            </c:strRef>
          </c:cat>
          <c:val>
            <c:numRef>
              <c:f>'Cleaned Data &amp; Pivot Table'!$P$33:$P$40</c:f>
              <c:numCache>
                <c:formatCode>General</c:formatCode>
                <c:ptCount val="7"/>
                <c:pt idx="0">
                  <c:v>7</c:v>
                </c:pt>
                <c:pt idx="1">
                  <c:v>11</c:v>
                </c:pt>
                <c:pt idx="2">
                  <c:v>11</c:v>
                </c:pt>
                <c:pt idx="3">
                  <c:v>18</c:v>
                </c:pt>
                <c:pt idx="4">
                  <c:v>11</c:v>
                </c:pt>
                <c:pt idx="5">
                  <c:v>14</c:v>
                </c:pt>
                <c:pt idx="6">
                  <c:v>8</c:v>
                </c:pt>
              </c:numCache>
            </c:numRef>
          </c:val>
          <c:extLst>
            <c:ext xmlns:c16="http://schemas.microsoft.com/office/drawing/2014/chart" uri="{C3380CC4-5D6E-409C-BE32-E72D297353CC}">
              <c16:uniqueId val="{00000000-640D-4858-BE57-886E1B0C0180}"/>
            </c:ext>
          </c:extLst>
        </c:ser>
        <c:ser>
          <c:idx val="1"/>
          <c:order val="1"/>
          <c:tx>
            <c:strRef>
              <c:f>'Cleaned Data &amp; Pivot Table'!$Q$31:$Q$32</c:f>
              <c:strCache>
                <c:ptCount val="1"/>
                <c:pt idx="0">
                  <c:v>Police</c:v>
                </c:pt>
              </c:strCache>
            </c:strRef>
          </c:tx>
          <c:spPr>
            <a:solidFill>
              <a:schemeClr val="tx2">
                <a:lumMod val="60000"/>
                <a:lumOff val="40000"/>
              </a:schemeClr>
            </a:solidFill>
            <a:ln>
              <a:noFill/>
            </a:ln>
            <a:effectLst/>
          </c:spPr>
          <c:invertIfNegative val="0"/>
          <c:dPt>
            <c:idx val="1"/>
            <c:invertIfNegative val="0"/>
            <c:bubble3D val="0"/>
            <c:spPr>
              <a:solidFill>
                <a:srgbClr val="FFFF00"/>
              </a:solidFill>
              <a:ln>
                <a:noFill/>
              </a:ln>
              <a:effectLst/>
            </c:spPr>
            <c:extLst>
              <c:ext xmlns:c16="http://schemas.microsoft.com/office/drawing/2014/chart" uri="{C3380CC4-5D6E-409C-BE32-E72D297353CC}">
                <c16:uniqueId val="{00000003-0B88-46DF-ACCC-B4A4CC842978}"/>
              </c:ext>
            </c:extLst>
          </c:dPt>
          <c:dPt>
            <c:idx val="2"/>
            <c:invertIfNegative val="0"/>
            <c:bubble3D val="0"/>
            <c:spPr>
              <a:solidFill>
                <a:srgbClr val="FFFF00"/>
              </a:solidFill>
              <a:ln>
                <a:noFill/>
              </a:ln>
              <a:effectLst/>
            </c:spPr>
            <c:extLst>
              <c:ext xmlns:c16="http://schemas.microsoft.com/office/drawing/2014/chart" uri="{C3380CC4-5D6E-409C-BE32-E72D297353CC}">
                <c16:uniqueId val="{00000005-0B88-46DF-ACCC-B4A4CC842978}"/>
              </c:ext>
            </c:extLst>
          </c:dPt>
          <c:dLbls>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'Cleaned Data &amp; Pivot Table'!$O$33:$O$40</c:f>
              <c:strCache>
                <c:ptCount val="7"/>
                <c:pt idx="0">
                  <c:v>Assault</c:v>
                </c:pt>
                <c:pt idx="1">
                  <c:v>Burglary</c:v>
                </c:pt>
                <c:pt idx="2">
                  <c:v>Emergency Call</c:v>
                </c:pt>
                <c:pt idx="3">
                  <c:v>Fire</c:v>
                </c:pt>
                <c:pt idx="4">
                  <c:v>Road Accident</c:v>
                </c:pt>
                <c:pt idx="5">
                  <c:v>Theft</c:v>
                </c:pt>
                <c:pt idx="6">
                  <c:v>Vandalism</c:v>
                </c:pt>
              </c:strCache>
            </c:strRef>
          </c:cat>
          <c:val>
            <c:numRef>
              <c:f>'Cleaned Data &amp; Pivot Table'!$Q$33:$Q$40</c:f>
              <c:numCache>
                <c:formatCode>General</c:formatCode>
                <c:ptCount val="7"/>
                <c:pt idx="0">
                  <c:v>7</c:v>
                </c:pt>
                <c:pt idx="1">
                  <c:v>14</c:v>
                </c:pt>
                <c:pt idx="2">
                  <c:v>14</c:v>
                </c:pt>
                <c:pt idx="3">
                  <c:v>7</c:v>
                </c:pt>
                <c:pt idx="4">
                  <c:v>8</c:v>
                </c:pt>
                <c:pt idx="5">
                  <c:v>12</c:v>
                </c:pt>
                <c:pt idx="6">
                  <c:v>8</c:v>
                </c:pt>
              </c:numCache>
            </c:numRef>
          </c:val>
          <c:extLst>
            <c:ext xmlns:c16="http://schemas.microsoft.com/office/drawing/2014/chart" uri="{C3380CC4-5D6E-409C-BE32-E72D297353CC}">
              <c16:uniqueId val="{0000000D-652D-4B85-85F5-957D7ACB5344}"/>
            </c:ext>
          </c:extLst>
        </c:ser>
        <c:dLbls>
          <c:dLblPos val="ctr"/>
          <c:showLegendKey val="0"/>
          <c:showVal val="1"/>
          <c:showCatName val="0"/>
          <c:showSerName val="0"/>
          <c:showPercent val="0"/>
          <c:showBubbleSize val="0"/>
        </c:dLbls>
        <c:gapWidth val="219"/>
        <c:overlap val="100"/>
        <c:axId val="798988752"/>
        <c:axId val="434322352"/>
      </c:barChart>
      <c:catAx>
        <c:axId val="79898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34322352"/>
        <c:crosses val="autoZero"/>
        <c:auto val="1"/>
        <c:lblAlgn val="ctr"/>
        <c:lblOffset val="100"/>
        <c:noMultiLvlLbl val="0"/>
      </c:catAx>
      <c:valAx>
        <c:axId val="434322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989887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 Services Review Project.xlsx]Cleaned Data &amp; Pivot Table!PivotTable6</c:name>
    <c:fmtId val="9"/>
  </c:pivotSource>
  <c:chart>
    <c:title>
      <c:tx>
        <c:rich>
          <a:bodyPr rot="0" spcFirstLastPara="1" vertOverflow="ellipsis" vert="horz" wrap="square" anchor="ctr" anchorCtr="1"/>
          <a:lstStyle/>
          <a:p>
            <a:pPr>
              <a:defRPr sz="1400" b="1" i="1" u="sng" strike="noStrike" kern="1200" spc="0" baseline="0">
                <a:solidFill>
                  <a:schemeClr val="bg1"/>
                </a:solidFill>
                <a:latin typeface="+mn-lt"/>
                <a:ea typeface="+mn-ea"/>
                <a:cs typeface="+mn-cs"/>
              </a:defRPr>
            </a:pPr>
            <a:r>
              <a:rPr lang="en-US" i="1" u="sng"/>
              <a:t>Staff Count</a:t>
            </a:r>
          </a:p>
        </c:rich>
      </c:tx>
      <c:layout>
        <c:manualLayout>
          <c:xMode val="edge"/>
          <c:yMode val="edge"/>
          <c:x val="0.45502162486843833"/>
          <c:y val="0"/>
        </c:manualLayout>
      </c:layout>
      <c:overlay val="0"/>
      <c:spPr>
        <a:noFill/>
        <a:ln>
          <a:noFill/>
        </a:ln>
        <a:effectLst/>
      </c:spPr>
      <c:txPr>
        <a:bodyPr rot="0" spcFirstLastPara="1" vertOverflow="ellipsis" vert="horz" wrap="square" anchor="ctr" anchorCtr="1"/>
        <a:lstStyle/>
        <a:p>
          <a:pPr>
            <a:defRPr sz="1400" b="1" i="1" u="sng"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60000"/>
              <a:lumOff val="4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a:ln>
            <a:noFill/>
          </a:ln>
          <a:effectLst/>
        </c:spPr>
      </c:pivotFmt>
      <c:pivotFmt>
        <c:idx val="7"/>
        <c:spPr>
          <a:solidFill>
            <a:srgbClr val="FFFF00"/>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dLbl>
          <c:idx val="0"/>
          <c:tx>
            <c:rich>
              <a:bodyPr/>
              <a:lstStyle/>
              <a:p>
                <a:fld id="{1E365189-1A97-4393-8C2D-4174E8E9E27A}" type="CELLRANGE">
                  <a:rPr lang="en-US"/>
                  <a:pPr/>
                  <a:t>[CELLRANGE]</a:t>
                </a:fld>
                <a:r>
                  <a:rPr lang="en-US" baseline="0"/>
                  <a:t>, </a:t>
                </a:r>
                <a:fld id="{30C11DBA-A912-44FA-ADF8-9DC4EB74D1E8}"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9"/>
        <c:dLbl>
          <c:idx val="0"/>
          <c:tx>
            <c:rich>
              <a:bodyPr/>
              <a:lstStyle/>
              <a:p>
                <a:fld id="{9616CEDC-CBAD-4943-818D-2DF310836024}" type="CELLRANGE">
                  <a:rPr lang="en-US"/>
                  <a:pPr/>
                  <a:t>[CELLRANGE]</a:t>
                </a:fld>
                <a:r>
                  <a:rPr lang="en-US" baseline="0"/>
                  <a:t>, </a:t>
                </a:r>
                <a:fld id="{F4C0F41F-8395-4091-817C-8CF61D7C335D}"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0"/>
        <c:dLbl>
          <c:idx val="0"/>
          <c:tx>
            <c:rich>
              <a:bodyPr/>
              <a:lstStyle/>
              <a:p>
                <a:fld id="{649CE041-EA4A-4239-8337-C458A62717A9}" type="CELLRANGE">
                  <a:rPr lang="en-US"/>
                  <a:pPr/>
                  <a:t>[CELLRANGE]</a:t>
                </a:fld>
                <a:r>
                  <a:rPr lang="en-US" baseline="0"/>
                  <a:t>, </a:t>
                </a:r>
                <a:fld id="{4EF3ACB2-A8C6-485F-8704-7E226928D9FD}"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1"/>
        <c:dLbl>
          <c:idx val="0"/>
          <c:tx>
            <c:rich>
              <a:bodyPr/>
              <a:lstStyle/>
              <a:p>
                <a:fld id="{DF68A725-1F56-4786-801D-162D129A22DB}" type="CELLRANGE">
                  <a:rPr lang="en-US"/>
                  <a:pPr/>
                  <a:t>[CELLRANGE]</a:t>
                </a:fld>
                <a:r>
                  <a:rPr lang="en-US" baseline="0"/>
                  <a:t>, </a:t>
                </a:r>
                <a:fld id="{62E72FCA-1A79-4AB3-84B7-4E805ADDE28B}"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2"/>
        <c:dLbl>
          <c:idx val="0"/>
          <c:tx>
            <c:rich>
              <a:bodyPr/>
              <a:lstStyle/>
              <a:p>
                <a:fld id="{33244DA9-7A39-41F2-9FA3-89B8281680C0}" type="CELLRANGE">
                  <a:rPr lang="en-US"/>
                  <a:pPr/>
                  <a:t>[CELLRANGE]</a:t>
                </a:fld>
                <a:r>
                  <a:rPr lang="en-US" baseline="0"/>
                  <a:t>, </a:t>
                </a:r>
                <a:fld id="{56F69E83-9C16-45FA-8FCD-D62F9A3FFA3B}"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3"/>
        <c:dLbl>
          <c:idx val="0"/>
          <c:tx>
            <c:rich>
              <a:bodyPr/>
              <a:lstStyle/>
              <a:p>
                <a:fld id="{F4E48159-E723-4376-94F4-92BB5C84CCD4}" type="CELLRANGE">
                  <a:rPr lang="en-US"/>
                  <a:pPr/>
                  <a:t>[CELLRANGE]</a:t>
                </a:fld>
                <a:r>
                  <a:rPr lang="en-US" baseline="0"/>
                  <a:t>, </a:t>
                </a:r>
                <a:fld id="{327CA883-2AA6-4FA9-A989-37E53BEACB43}"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4"/>
        <c:dLbl>
          <c:idx val="0"/>
          <c:tx>
            <c:rich>
              <a:bodyPr/>
              <a:lstStyle/>
              <a:p>
                <a:fld id="{72378737-1811-4C2D-8D20-D68573AE5C9A}" type="CELLRANGE">
                  <a:rPr lang="en-US"/>
                  <a:pPr/>
                  <a:t>[CELLRANGE]</a:t>
                </a:fld>
                <a:r>
                  <a:rPr lang="en-US" baseline="0"/>
                  <a:t>, </a:t>
                </a:r>
                <a:fld id="{F8A4CB64-2C0E-46C4-85DA-7017307C63FF}"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5"/>
        <c:dLbl>
          <c:idx val="0"/>
          <c:tx>
            <c:rich>
              <a:bodyPr/>
              <a:lstStyle/>
              <a:p>
                <a:fld id="{81B3F803-5C34-4EF0-AF22-1DD8C7C8713E}" type="CELLRANGE">
                  <a:rPr lang="en-US"/>
                  <a:pPr/>
                  <a:t>[CELLRANGE]</a:t>
                </a:fld>
                <a:r>
                  <a:rPr lang="en-US" baseline="0"/>
                  <a:t>, </a:t>
                </a:r>
                <a:fld id="{A4E7F342-DBA3-4113-9871-176348097DA1}"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6"/>
        <c:dLbl>
          <c:idx val="0"/>
          <c:tx>
            <c:rich>
              <a:bodyPr/>
              <a:lstStyle/>
              <a:p>
                <a:fld id="{4A132D65-1FC4-44AE-85FD-C99D482493EF}" type="CELLRANGE">
                  <a:rPr lang="en-US"/>
                  <a:pPr/>
                  <a:t>[CELLRANGE]</a:t>
                </a:fld>
                <a:r>
                  <a:rPr lang="en-US" baseline="0"/>
                  <a:t>, </a:t>
                </a:r>
                <a:fld id="{E9681005-95BF-4871-88BA-DEBA0168BCF5}"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7"/>
        <c:dLbl>
          <c:idx val="0"/>
          <c:tx>
            <c:rich>
              <a:bodyPr/>
              <a:lstStyle/>
              <a:p>
                <a:fld id="{6BAD22FD-44AB-4ABD-B622-E04C2D40C3D3}" type="CELLRANGE">
                  <a:rPr lang="en-US"/>
                  <a:pPr/>
                  <a:t>[CELLRANGE]</a:t>
                </a:fld>
                <a:r>
                  <a:rPr lang="en-US" baseline="0"/>
                  <a:t>, </a:t>
                </a:r>
                <a:fld id="{87F25F9A-72C4-4FED-B2E8-649C603DC249}"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8"/>
        <c:dLbl>
          <c:idx val="0"/>
          <c:tx>
            <c:rich>
              <a:bodyPr/>
              <a:lstStyle/>
              <a:p>
                <a:fld id="{5E0D60D5-65CC-4898-B4B7-DBFE53E13E26}" type="CELLRANGE">
                  <a:rPr lang="en-US"/>
                  <a:pPr/>
                  <a:t>[CELLRANGE]</a:t>
                </a:fld>
                <a:r>
                  <a:rPr lang="en-US" baseline="0"/>
                  <a:t>, </a:t>
                </a:r>
                <a:fld id="{28E61F9E-F8BA-4BD3-98C6-DB2A3B98FE6A}"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4.4554490575920147E-2"/>
          <c:y val="0.16056277056277057"/>
          <c:w val="0.94309982921160973"/>
          <c:h val="0.6714432286873232"/>
        </c:manualLayout>
      </c:layout>
      <c:barChart>
        <c:barDir val="col"/>
        <c:grouping val="percentStacked"/>
        <c:varyColors val="0"/>
        <c:ser>
          <c:idx val="0"/>
          <c:order val="0"/>
          <c:tx>
            <c:strRef>
              <c:f>'Cleaned Data &amp; Pivot Table'!$U$17:$U$18</c:f>
              <c:strCache>
                <c:ptCount val="1"/>
                <c:pt idx="0">
                  <c:v>Fire</c:v>
                </c:pt>
              </c:strCache>
            </c:strRef>
          </c:tx>
          <c:spPr>
            <a:solidFill>
              <a:srgbClr val="FF0000"/>
            </a:solidFill>
            <a:ln>
              <a:noFill/>
            </a:ln>
            <a:effectLst/>
          </c:spPr>
          <c:invertIfNegative val="0"/>
          <c:dPt>
            <c:idx val="3"/>
            <c:invertIfNegative val="0"/>
            <c:bubble3D val="0"/>
            <c:spPr>
              <a:solidFill>
                <a:srgbClr val="FFFF00"/>
              </a:solidFill>
              <a:ln>
                <a:noFill/>
              </a:ln>
              <a:effectLst/>
            </c:spPr>
            <c:extLst>
              <c:ext xmlns:c16="http://schemas.microsoft.com/office/drawing/2014/chart" uri="{C3380CC4-5D6E-409C-BE32-E72D297353CC}">
                <c16:uniqueId val="{00000005-EB91-4496-82FD-B900D645C641}"/>
              </c:ext>
            </c:extLst>
          </c:dPt>
          <c:dLbls>
            <c:spPr>
              <a:noFill/>
              <a:ln>
                <a:noFill/>
              </a:ln>
              <a:effectLst/>
            </c:spPr>
            <c:txPr>
              <a:bodyPr rot="-5400000" spcFirstLastPara="1" vertOverflow="ellipsis"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'Cleaned Data &amp; Pivot Table'!$T$19:$T$31</c:f>
              <c:strCache>
                <c:ptCount val="12"/>
                <c:pt idx="0">
                  <c:v>East Midlands</c:v>
                </c:pt>
                <c:pt idx="1">
                  <c:v>East of England</c:v>
                </c:pt>
                <c:pt idx="2">
                  <c:v>London</c:v>
                </c:pt>
                <c:pt idx="3">
                  <c:v>North East</c:v>
                </c:pt>
                <c:pt idx="4">
                  <c:v>North West</c:v>
                </c:pt>
                <c:pt idx="5">
                  <c:v>Northern Ireland</c:v>
                </c:pt>
                <c:pt idx="6">
                  <c:v>Scotland</c:v>
                </c:pt>
                <c:pt idx="7">
                  <c:v>South East</c:v>
                </c:pt>
                <c:pt idx="8">
                  <c:v>South West</c:v>
                </c:pt>
                <c:pt idx="9">
                  <c:v>Wales</c:v>
                </c:pt>
                <c:pt idx="10">
                  <c:v>West Midlands</c:v>
                </c:pt>
                <c:pt idx="11">
                  <c:v>Yorkshire and the Humber</c:v>
                </c:pt>
              </c:strCache>
            </c:strRef>
          </c:cat>
          <c:val>
            <c:numRef>
              <c:f>'Cleaned Data &amp; Pivot Table'!$U$19:$U$31</c:f>
              <c:numCache>
                <c:formatCode>General</c:formatCode>
                <c:ptCount val="12"/>
                <c:pt idx="0">
                  <c:v>248</c:v>
                </c:pt>
                <c:pt idx="1">
                  <c:v>904</c:v>
                </c:pt>
                <c:pt idx="2">
                  <c:v>462</c:v>
                </c:pt>
                <c:pt idx="3">
                  <c:v>1246</c:v>
                </c:pt>
                <c:pt idx="4">
                  <c:v>1090</c:v>
                </c:pt>
                <c:pt idx="5">
                  <c:v>632</c:v>
                </c:pt>
                <c:pt idx="6">
                  <c:v>959</c:v>
                </c:pt>
                <c:pt idx="7">
                  <c:v>832</c:v>
                </c:pt>
                <c:pt idx="8">
                  <c:v>772</c:v>
                </c:pt>
                <c:pt idx="9">
                  <c:v>995</c:v>
                </c:pt>
                <c:pt idx="10">
                  <c:v>793</c:v>
                </c:pt>
                <c:pt idx="11">
                  <c:v>1082</c:v>
                </c:pt>
              </c:numCache>
            </c:numRef>
          </c:val>
          <c:extLst>
            <c:ext xmlns:c16="http://schemas.microsoft.com/office/drawing/2014/chart" uri="{C3380CC4-5D6E-409C-BE32-E72D297353CC}">
              <c16:uniqueId val="{00000000-CD22-4ED2-A590-88C489511F2E}"/>
            </c:ext>
          </c:extLst>
        </c:ser>
        <c:ser>
          <c:idx val="1"/>
          <c:order val="1"/>
          <c:tx>
            <c:strRef>
              <c:f>'Cleaned Data &amp; Pivot Table'!$V$17:$V$18</c:f>
              <c:strCache>
                <c:ptCount val="1"/>
                <c:pt idx="0">
                  <c:v>Police</c:v>
                </c:pt>
              </c:strCache>
            </c:strRef>
          </c:tx>
          <c:spPr>
            <a:solidFill>
              <a:schemeClr val="tx2">
                <a:lumMod val="60000"/>
                <a:lumOff val="40000"/>
              </a:schemeClr>
            </a:solidFill>
            <a:ln>
              <a:noFill/>
            </a:ln>
            <a:effectLst/>
          </c:spPr>
          <c:invertIfNegative val="0"/>
          <c:dPt>
            <c:idx val="1"/>
            <c:invertIfNegative val="0"/>
            <c:bubble3D val="0"/>
            <c:spPr>
              <a:solidFill>
                <a:srgbClr val="FFFF00"/>
              </a:solidFill>
              <a:ln>
                <a:noFill/>
              </a:ln>
              <a:effectLst/>
            </c:spPr>
            <c:extLst>
              <c:ext xmlns:c16="http://schemas.microsoft.com/office/drawing/2014/chart" uri="{C3380CC4-5D6E-409C-BE32-E72D297353CC}">
                <c16:uniqueId val="{00000003-A330-48CC-BE07-7C02DC4D94D0}"/>
              </c:ext>
            </c:extLst>
          </c:dPt>
          <c:dLbls>
            <c:spPr>
              <a:noFill/>
              <a:ln>
                <a:noFill/>
              </a:ln>
              <a:effectLst/>
            </c:spPr>
            <c:txPr>
              <a:bodyPr rot="-5400000" spcFirstLastPara="1" vertOverflow="ellipsis"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'Cleaned Data &amp; Pivot Table'!$T$19:$T$31</c:f>
              <c:strCache>
                <c:ptCount val="12"/>
                <c:pt idx="0">
                  <c:v>East Midlands</c:v>
                </c:pt>
                <c:pt idx="1">
                  <c:v>East of England</c:v>
                </c:pt>
                <c:pt idx="2">
                  <c:v>London</c:v>
                </c:pt>
                <c:pt idx="3">
                  <c:v>North East</c:v>
                </c:pt>
                <c:pt idx="4">
                  <c:v>North West</c:v>
                </c:pt>
                <c:pt idx="5">
                  <c:v>Northern Ireland</c:v>
                </c:pt>
                <c:pt idx="6">
                  <c:v>Scotland</c:v>
                </c:pt>
                <c:pt idx="7">
                  <c:v>South East</c:v>
                </c:pt>
                <c:pt idx="8">
                  <c:v>South West</c:v>
                </c:pt>
                <c:pt idx="9">
                  <c:v>Wales</c:v>
                </c:pt>
                <c:pt idx="10">
                  <c:v>West Midlands</c:v>
                </c:pt>
                <c:pt idx="11">
                  <c:v>Yorkshire and the Humber</c:v>
                </c:pt>
              </c:strCache>
            </c:strRef>
          </c:cat>
          <c:val>
            <c:numRef>
              <c:f>'Cleaned Data &amp; Pivot Table'!$V$19:$V$31</c:f>
              <c:numCache>
                <c:formatCode>General</c:formatCode>
                <c:ptCount val="12"/>
                <c:pt idx="0">
                  <c:v>783</c:v>
                </c:pt>
                <c:pt idx="1">
                  <c:v>1163</c:v>
                </c:pt>
                <c:pt idx="2">
                  <c:v>598</c:v>
                </c:pt>
                <c:pt idx="3">
                  <c:v>346</c:v>
                </c:pt>
                <c:pt idx="4">
                  <c:v>959</c:v>
                </c:pt>
                <c:pt idx="5">
                  <c:v>225</c:v>
                </c:pt>
                <c:pt idx="6">
                  <c:v>966</c:v>
                </c:pt>
                <c:pt idx="7">
                  <c:v>648</c:v>
                </c:pt>
                <c:pt idx="8">
                  <c:v>610</c:v>
                </c:pt>
                <c:pt idx="9">
                  <c:v>801</c:v>
                </c:pt>
                <c:pt idx="10">
                  <c:v>963</c:v>
                </c:pt>
                <c:pt idx="11">
                  <c:v>152</c:v>
                </c:pt>
              </c:numCache>
            </c:numRef>
          </c:val>
          <c:extLst>
            <c:ext xmlns:c16="http://schemas.microsoft.com/office/drawing/2014/chart" uri="{C3380CC4-5D6E-409C-BE32-E72D297353CC}">
              <c16:uniqueId val="{00000026-3800-4F67-BE83-89D25B57753F}"/>
            </c:ext>
          </c:extLst>
        </c:ser>
        <c:dLbls>
          <c:dLblPos val="ctr"/>
          <c:showLegendKey val="0"/>
          <c:showVal val="1"/>
          <c:showCatName val="0"/>
          <c:showSerName val="0"/>
          <c:showPercent val="0"/>
          <c:showBubbleSize val="0"/>
        </c:dLbls>
        <c:gapWidth val="150"/>
        <c:overlap val="100"/>
        <c:axId val="764720352"/>
        <c:axId val="434316112"/>
      </c:barChart>
      <c:catAx>
        <c:axId val="764720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434316112"/>
        <c:crosses val="autoZero"/>
        <c:auto val="1"/>
        <c:lblAlgn val="ctr"/>
        <c:lblOffset val="100"/>
        <c:noMultiLvlLbl val="0"/>
      </c:catAx>
      <c:valAx>
        <c:axId val="43431611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6472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 Services Review Project.xlsx]Cleaned Data &amp; Pivot Table!PivotTable2</c:name>
    <c:fmtId val="17"/>
  </c:pivotSource>
  <c:chart>
    <c:title>
      <c:tx>
        <c:rich>
          <a:bodyPr rot="0" spcFirstLastPara="1" vertOverflow="ellipsis" vert="horz" wrap="square" anchor="ctr" anchorCtr="1"/>
          <a:lstStyle/>
          <a:p>
            <a:pPr>
              <a:defRPr sz="1800" b="1" i="1" u="sng" strike="noStrike" kern="1200" spc="0" baseline="0">
                <a:solidFill>
                  <a:schemeClr val="bg1"/>
                </a:solidFill>
                <a:latin typeface="+mn-lt"/>
                <a:ea typeface="+mn-ea"/>
                <a:cs typeface="+mn-cs"/>
              </a:defRPr>
            </a:pPr>
            <a:r>
              <a:rPr lang="en-US" sz="1800" b="1" i="1" u="sng"/>
              <a:t> Cases Reported &amp; Resolved</a:t>
            </a:r>
          </a:p>
        </c:rich>
      </c:tx>
      <c:overlay val="0"/>
      <c:spPr>
        <a:noFill/>
        <a:ln>
          <a:noFill/>
        </a:ln>
        <a:effectLst/>
      </c:spPr>
      <c:txPr>
        <a:bodyPr rot="0" spcFirstLastPara="1" vertOverflow="ellipsis" vert="horz" wrap="square" anchor="ctr" anchorCtr="1"/>
        <a:lstStyle/>
        <a:p>
          <a:pPr>
            <a:defRPr sz="1800" b="1" i="1" u="sng" strike="noStrike" kern="1200" spc="0" baseline="0">
              <a:solidFill>
                <a:schemeClr val="bg1"/>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60000"/>
              <a:lumOff val="40000"/>
            </a:schemeClr>
          </a:solidFill>
          <a:ln>
            <a:noFill/>
          </a:ln>
          <a:effectLst/>
        </c:spPr>
        <c:marker>
          <c:symbol val="none"/>
        </c:marker>
        <c:dLbl>
          <c:idx val="0"/>
          <c:spPr>
            <a:noFill/>
            <a:ln>
              <a:noFill/>
            </a:ln>
            <a:effectLst/>
          </c:spPr>
          <c:txPr>
            <a:bodyPr rot="-5400000" spcFirstLastPara="1" vertOverflow="ellipsis" wrap="square" anchor="ctr" anchorCtr="1"/>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marker>
          <c:symbol val="none"/>
        </c:marker>
        <c:dLbl>
          <c:idx val="0"/>
          <c:spPr>
            <a:noFill/>
            <a:ln>
              <a:noFill/>
            </a:ln>
            <a:effectLst/>
          </c:spPr>
          <c:txPr>
            <a:bodyPr rot="-5400000" spcFirstLastPara="1" vertOverflow="ellipsis" wrap="square" anchor="ctr" anchorCtr="1"/>
            <a:lstStyle/>
            <a:p>
              <a:pPr>
                <a:defRPr sz="12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pivotFmt>
      <c:pivotFmt>
        <c:idx val="10"/>
        <c:spPr>
          <a:solidFill>
            <a:schemeClr val="accent1"/>
          </a:solidFill>
          <a:ln>
            <a:noFill/>
          </a:ln>
          <a:effectLst/>
        </c:spPr>
        <c:marker>
          <c:symbol val="none"/>
        </c:marker>
        <c:dLbl>
          <c:idx val="0"/>
          <c:spPr>
            <a:solidFill>
              <a:srgbClr val="92D050"/>
            </a:solid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6.6366432589994541E-3"/>
              <c:y val="0.14504884636309337"/>
            </c:manualLayout>
          </c:layout>
          <c:spPr>
            <a:solidFill>
              <a:srgbClr val="92D050"/>
            </a:solid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6.6366432589994454E-3"/>
              <c:y val="0.14225944547149552"/>
            </c:manualLayout>
          </c:layout>
          <c:spPr>
            <a:solidFill>
              <a:srgbClr val="92D050"/>
            </a:solid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5.6885513648566675E-3"/>
              <c:y val="0.10041843209752624"/>
            </c:manualLayout>
          </c:layout>
          <c:spPr>
            <a:solidFill>
              <a:srgbClr val="92D050"/>
            </a:solid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9.4809189414279179E-3"/>
              <c:y val="0.11157603566391794"/>
            </c:manualLayout>
          </c:layout>
          <c:spPr>
            <a:solidFill>
              <a:srgbClr val="92D050"/>
            </a:solid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9.4809189414277791E-3"/>
              <c:y val="0.13389124279670164"/>
            </c:manualLayout>
          </c:layout>
          <c:spPr>
            <a:solidFill>
              <a:srgbClr val="92D050"/>
            </a:solid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9.4809189414279179E-3"/>
              <c:y val="0.13389124279670164"/>
            </c:manualLayout>
          </c:layout>
          <c:spPr>
            <a:solidFill>
              <a:srgbClr val="92D050"/>
            </a:solid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1.1377102729713474E-2"/>
              <c:y val="0.16457465260427911"/>
            </c:manualLayout>
          </c:layout>
          <c:spPr>
            <a:solidFill>
              <a:srgbClr val="92D050"/>
            </a:solid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8.5328270472850003E-3"/>
              <c:y val="0.13389124279670156"/>
            </c:manualLayout>
          </c:layout>
          <c:spPr>
            <a:solidFill>
              <a:srgbClr val="92D050"/>
            </a:solid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8.5328270472850003E-3"/>
              <c:y val="0.10041843209752634"/>
            </c:manualLayout>
          </c:layout>
          <c:spPr>
            <a:solidFill>
              <a:srgbClr val="92D050"/>
            </a:solid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8.5328270472851391E-3"/>
              <c:y val="0.10599723388072224"/>
            </c:manualLayout>
          </c:layout>
          <c:spPr>
            <a:solidFill>
              <a:srgbClr val="92D050"/>
            </a:solid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6.6366432589994454E-3"/>
              <c:y val="0.1032078329891242"/>
            </c:manualLayout>
          </c:layout>
          <c:spPr>
            <a:solidFill>
              <a:srgbClr val="92D050"/>
            </a:solid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9.4809189414279179E-3"/>
              <c:y val="0.14225944547149541"/>
            </c:manualLayout>
          </c:layout>
          <c:spPr>
            <a:solidFill>
              <a:srgbClr val="92D050"/>
            </a:solid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1.1377102729713352E-2"/>
              <c:y val="0.11157603566391794"/>
            </c:manualLayout>
          </c:layout>
          <c:spPr>
            <a:solidFill>
              <a:srgbClr val="92D050"/>
            </a:solid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9.4809189414277791E-3"/>
              <c:y val="0.14225944547149552"/>
            </c:manualLayout>
          </c:layout>
          <c:spPr>
            <a:solidFill>
              <a:srgbClr val="92D050"/>
            </a:solid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9.4809189414277791E-3"/>
              <c:y val="0.11157603566391815"/>
            </c:manualLayout>
          </c:layout>
          <c:spPr>
            <a:solidFill>
              <a:srgbClr val="92D050"/>
            </a:solid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layout>
            <c:manualLayout>
              <c:x val="-7.5847351531422233E-3"/>
              <c:y val="0.13947004457989745"/>
            </c:manualLayout>
          </c:layout>
          <c:spPr>
            <a:solidFill>
              <a:srgbClr val="92D050"/>
            </a:solid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layout>
            <c:manualLayout>
              <c:x val="-6.6366432589994454E-3"/>
              <c:y val="0.13110184190510371"/>
            </c:manualLayout>
          </c:layout>
          <c:spPr>
            <a:solidFill>
              <a:srgbClr val="92D050"/>
            </a:solid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layout>
            <c:manualLayout>
              <c:x val="-1.1377102729713335E-2"/>
              <c:y val="0.13110184190510371"/>
            </c:manualLayout>
          </c:layout>
          <c:spPr>
            <a:solidFill>
              <a:srgbClr val="92D050"/>
            </a:solid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layout>
            <c:manualLayout>
              <c:x val="-4.7404594707138896E-3"/>
              <c:y val="0.11715483744711394"/>
            </c:manualLayout>
          </c:layout>
          <c:spPr>
            <a:solidFill>
              <a:srgbClr val="92D050"/>
            </a:solid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layout>
            <c:manualLayout>
              <c:x val="-4.7404594707138896E-3"/>
              <c:y val="0.10599723388072194"/>
            </c:manualLayout>
          </c:layout>
          <c:spPr>
            <a:solidFill>
              <a:srgbClr val="92D050"/>
            </a:solid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dLbl>
          <c:idx val="0"/>
          <c:layout>
            <c:manualLayout>
              <c:x val="-5.6885513648566675E-3"/>
              <c:y val="0.13389124279670164"/>
            </c:manualLayout>
          </c:layout>
          <c:spPr>
            <a:solidFill>
              <a:srgbClr val="92D050"/>
            </a:solid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dLbl>
          <c:idx val="0"/>
          <c:layout>
            <c:manualLayout>
              <c:x val="-5.6885513648567369E-3"/>
              <c:y val="0.11994423833871179"/>
            </c:manualLayout>
          </c:layout>
          <c:spPr>
            <a:solidFill>
              <a:srgbClr val="92D050"/>
            </a:solid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dLbl>
          <c:idx val="0"/>
          <c:layout>
            <c:manualLayout>
              <c:x val="-7.5847351531422233E-3"/>
              <c:y val="0.15062764814628937"/>
            </c:manualLayout>
          </c:layout>
          <c:spPr>
            <a:solidFill>
              <a:srgbClr val="92D050"/>
            </a:solid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dLbl>
          <c:idx val="0"/>
          <c:layout>
            <c:manualLayout>
              <c:x val="-8.5328270472850003E-3"/>
              <c:y val="0.17015345438747501"/>
            </c:manualLayout>
          </c:layout>
          <c:spPr>
            <a:solidFill>
              <a:srgbClr val="92D050"/>
            </a:solid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694838632520022E-2"/>
          <c:y val="0.18528496585399926"/>
          <c:w val="0.95387615053190944"/>
          <c:h val="0.63656544362785528"/>
        </c:manualLayout>
      </c:layout>
      <c:barChart>
        <c:barDir val="col"/>
        <c:grouping val="clustered"/>
        <c:varyColors val="0"/>
        <c:ser>
          <c:idx val="0"/>
          <c:order val="0"/>
          <c:tx>
            <c:strRef>
              <c:f>'Cleaned Data &amp; Pivot Table'!$P$1</c:f>
              <c:strCache>
                <c:ptCount val="1"/>
                <c:pt idx="0">
                  <c:v>Cases Reported </c:v>
                </c:pt>
              </c:strCache>
            </c:strRef>
          </c:tx>
          <c:spPr>
            <a:solidFill>
              <a:schemeClr val="tx2">
                <a:lumMod val="60000"/>
                <a:lumOff val="40000"/>
              </a:schemeClr>
            </a:solidFill>
            <a:ln>
              <a:noFill/>
            </a:ln>
            <a:effectLst/>
          </c:spPr>
          <c:invertIfNegative val="0"/>
          <c:dLbls>
            <c:spPr>
              <a:noFill/>
              <a:ln>
                <a:noFill/>
              </a:ln>
              <a:effectLst/>
            </c:spPr>
            <c:txPr>
              <a:bodyPr rot="-5400000" spcFirstLastPara="1" vertOverflow="ellipsis" wrap="square" anchor="ctr" anchorCtr="1"/>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'Cleaned Data &amp; Pivot Table'!$O$2:$O$28</c:f>
              <c:multiLvlStrCache>
                <c:ptCount val="24"/>
                <c:lvl>
                  <c:pt idx="0">
                    <c:v>East Midlands</c:v>
                  </c:pt>
                  <c:pt idx="1">
                    <c:v>East of England</c:v>
                  </c:pt>
                  <c:pt idx="2">
                    <c:v>London</c:v>
                  </c:pt>
                  <c:pt idx="3">
                    <c:v>North East</c:v>
                  </c:pt>
                  <c:pt idx="4">
                    <c:v>North West</c:v>
                  </c:pt>
                  <c:pt idx="5">
                    <c:v>Northern Ireland</c:v>
                  </c:pt>
                  <c:pt idx="6">
                    <c:v>Scotland</c:v>
                  </c:pt>
                  <c:pt idx="7">
                    <c:v>South East</c:v>
                  </c:pt>
                  <c:pt idx="8">
                    <c:v>South West</c:v>
                  </c:pt>
                  <c:pt idx="9">
                    <c:v>Wales</c:v>
                  </c:pt>
                  <c:pt idx="10">
                    <c:v>West Midlands</c:v>
                  </c:pt>
                  <c:pt idx="11">
                    <c:v>Yorkshire and the Humber</c:v>
                  </c:pt>
                  <c:pt idx="12">
                    <c:v>East Midlands</c:v>
                  </c:pt>
                  <c:pt idx="13">
                    <c:v>East of England</c:v>
                  </c:pt>
                  <c:pt idx="14">
                    <c:v>London</c:v>
                  </c:pt>
                  <c:pt idx="15">
                    <c:v>North East</c:v>
                  </c:pt>
                  <c:pt idx="16">
                    <c:v>North West</c:v>
                  </c:pt>
                  <c:pt idx="17">
                    <c:v>Northern Ireland</c:v>
                  </c:pt>
                  <c:pt idx="18">
                    <c:v>Scotland</c:v>
                  </c:pt>
                  <c:pt idx="19">
                    <c:v>South East</c:v>
                  </c:pt>
                  <c:pt idx="20">
                    <c:v>South West</c:v>
                  </c:pt>
                  <c:pt idx="21">
                    <c:v>Wales</c:v>
                  </c:pt>
                  <c:pt idx="22">
                    <c:v>West Midlands</c:v>
                  </c:pt>
                  <c:pt idx="23">
                    <c:v>Yorkshire and the Humber</c:v>
                  </c:pt>
                </c:lvl>
                <c:lvl>
                  <c:pt idx="0">
                    <c:v>Fire</c:v>
                  </c:pt>
                  <c:pt idx="12">
                    <c:v>Police</c:v>
                  </c:pt>
                </c:lvl>
              </c:multiLvlStrCache>
            </c:multiLvlStrRef>
          </c:cat>
          <c:val>
            <c:numRef>
              <c:f>'Cleaned Data &amp; Pivot Table'!$P$2:$P$28</c:f>
              <c:numCache>
                <c:formatCode>General</c:formatCode>
                <c:ptCount val="24"/>
                <c:pt idx="0">
                  <c:v>691</c:v>
                </c:pt>
                <c:pt idx="1">
                  <c:v>4153</c:v>
                </c:pt>
                <c:pt idx="2">
                  <c:v>2534</c:v>
                </c:pt>
                <c:pt idx="3">
                  <c:v>6178</c:v>
                </c:pt>
                <c:pt idx="4">
                  <c:v>4077</c:v>
                </c:pt>
                <c:pt idx="5">
                  <c:v>2456</c:v>
                </c:pt>
                <c:pt idx="6">
                  <c:v>4997</c:v>
                </c:pt>
                <c:pt idx="7">
                  <c:v>5158</c:v>
                </c:pt>
                <c:pt idx="8">
                  <c:v>3441</c:v>
                </c:pt>
                <c:pt idx="9">
                  <c:v>4571</c:v>
                </c:pt>
                <c:pt idx="10">
                  <c:v>3128</c:v>
                </c:pt>
                <c:pt idx="11">
                  <c:v>2667</c:v>
                </c:pt>
                <c:pt idx="12">
                  <c:v>2575</c:v>
                </c:pt>
                <c:pt idx="13">
                  <c:v>5496</c:v>
                </c:pt>
                <c:pt idx="14">
                  <c:v>2648</c:v>
                </c:pt>
                <c:pt idx="15">
                  <c:v>620</c:v>
                </c:pt>
                <c:pt idx="16">
                  <c:v>3636</c:v>
                </c:pt>
                <c:pt idx="17">
                  <c:v>1973</c:v>
                </c:pt>
                <c:pt idx="18">
                  <c:v>4630</c:v>
                </c:pt>
                <c:pt idx="19">
                  <c:v>4496</c:v>
                </c:pt>
                <c:pt idx="20">
                  <c:v>1752</c:v>
                </c:pt>
                <c:pt idx="21">
                  <c:v>4574</c:v>
                </c:pt>
                <c:pt idx="22">
                  <c:v>3281</c:v>
                </c:pt>
                <c:pt idx="23">
                  <c:v>1303</c:v>
                </c:pt>
              </c:numCache>
            </c:numRef>
          </c:val>
          <c:extLst>
            <c:ext xmlns:c16="http://schemas.microsoft.com/office/drawing/2014/chart" uri="{C3380CC4-5D6E-409C-BE32-E72D297353CC}">
              <c16:uniqueId val="{00000000-DAB6-414E-9DDE-A8DFB6CFF2F9}"/>
            </c:ext>
          </c:extLst>
        </c:ser>
        <c:ser>
          <c:idx val="1"/>
          <c:order val="1"/>
          <c:tx>
            <c:strRef>
              <c:f>'Cleaned Data &amp; Pivot Table'!$Q$1</c:f>
              <c:strCache>
                <c:ptCount val="1"/>
                <c:pt idx="0">
                  <c:v>Cases Resolved </c:v>
                </c:pt>
              </c:strCache>
            </c:strRef>
          </c:tx>
          <c:spPr>
            <a:solidFill>
              <a:srgbClr val="FF0000"/>
            </a:solidFill>
            <a:ln>
              <a:noFill/>
            </a:ln>
            <a:effectLst/>
          </c:spPr>
          <c:invertIfNegative val="0"/>
          <c:dLbls>
            <c:spPr>
              <a:noFill/>
              <a:ln>
                <a:noFill/>
              </a:ln>
              <a:effectLst/>
            </c:spPr>
            <c:txPr>
              <a:bodyPr rot="-5400000" spcFirstLastPara="1" vertOverflow="ellipsis" wrap="square" anchor="ctr" anchorCtr="1"/>
              <a:lstStyle/>
              <a:p>
                <a:pPr>
                  <a:defRPr sz="12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'Cleaned Data &amp; Pivot Table'!$O$2:$O$28</c:f>
              <c:multiLvlStrCache>
                <c:ptCount val="24"/>
                <c:lvl>
                  <c:pt idx="0">
                    <c:v>East Midlands</c:v>
                  </c:pt>
                  <c:pt idx="1">
                    <c:v>East of England</c:v>
                  </c:pt>
                  <c:pt idx="2">
                    <c:v>London</c:v>
                  </c:pt>
                  <c:pt idx="3">
                    <c:v>North East</c:v>
                  </c:pt>
                  <c:pt idx="4">
                    <c:v>North West</c:v>
                  </c:pt>
                  <c:pt idx="5">
                    <c:v>Northern Ireland</c:v>
                  </c:pt>
                  <c:pt idx="6">
                    <c:v>Scotland</c:v>
                  </c:pt>
                  <c:pt idx="7">
                    <c:v>South East</c:v>
                  </c:pt>
                  <c:pt idx="8">
                    <c:v>South West</c:v>
                  </c:pt>
                  <c:pt idx="9">
                    <c:v>Wales</c:v>
                  </c:pt>
                  <c:pt idx="10">
                    <c:v>West Midlands</c:v>
                  </c:pt>
                  <c:pt idx="11">
                    <c:v>Yorkshire and the Humber</c:v>
                  </c:pt>
                  <c:pt idx="12">
                    <c:v>East Midlands</c:v>
                  </c:pt>
                  <c:pt idx="13">
                    <c:v>East of England</c:v>
                  </c:pt>
                  <c:pt idx="14">
                    <c:v>London</c:v>
                  </c:pt>
                  <c:pt idx="15">
                    <c:v>North East</c:v>
                  </c:pt>
                  <c:pt idx="16">
                    <c:v>North West</c:v>
                  </c:pt>
                  <c:pt idx="17">
                    <c:v>Northern Ireland</c:v>
                  </c:pt>
                  <c:pt idx="18">
                    <c:v>Scotland</c:v>
                  </c:pt>
                  <c:pt idx="19">
                    <c:v>South East</c:v>
                  </c:pt>
                  <c:pt idx="20">
                    <c:v>South West</c:v>
                  </c:pt>
                  <c:pt idx="21">
                    <c:v>Wales</c:v>
                  </c:pt>
                  <c:pt idx="22">
                    <c:v>West Midlands</c:v>
                  </c:pt>
                  <c:pt idx="23">
                    <c:v>Yorkshire and the Humber</c:v>
                  </c:pt>
                </c:lvl>
                <c:lvl>
                  <c:pt idx="0">
                    <c:v>Fire</c:v>
                  </c:pt>
                  <c:pt idx="12">
                    <c:v>Police</c:v>
                  </c:pt>
                </c:lvl>
              </c:multiLvlStrCache>
            </c:multiLvlStrRef>
          </c:cat>
          <c:val>
            <c:numRef>
              <c:f>'Cleaned Data &amp; Pivot Table'!$Q$2:$Q$28</c:f>
              <c:numCache>
                <c:formatCode>General</c:formatCode>
                <c:ptCount val="24"/>
                <c:pt idx="0">
                  <c:v>273</c:v>
                </c:pt>
                <c:pt idx="1">
                  <c:v>2301</c:v>
                </c:pt>
                <c:pt idx="2">
                  <c:v>915</c:v>
                </c:pt>
                <c:pt idx="3">
                  <c:v>4187</c:v>
                </c:pt>
                <c:pt idx="4">
                  <c:v>3015</c:v>
                </c:pt>
                <c:pt idx="5">
                  <c:v>1812</c:v>
                </c:pt>
                <c:pt idx="6">
                  <c:v>4585</c:v>
                </c:pt>
                <c:pt idx="7">
                  <c:v>3475</c:v>
                </c:pt>
                <c:pt idx="8">
                  <c:v>1285</c:v>
                </c:pt>
                <c:pt idx="9">
                  <c:v>2442</c:v>
                </c:pt>
                <c:pt idx="10">
                  <c:v>2262</c:v>
                </c:pt>
                <c:pt idx="11">
                  <c:v>1765</c:v>
                </c:pt>
                <c:pt idx="12">
                  <c:v>2418</c:v>
                </c:pt>
                <c:pt idx="13">
                  <c:v>2754</c:v>
                </c:pt>
                <c:pt idx="14">
                  <c:v>2175</c:v>
                </c:pt>
                <c:pt idx="15">
                  <c:v>570</c:v>
                </c:pt>
                <c:pt idx="16">
                  <c:v>2801</c:v>
                </c:pt>
                <c:pt idx="17">
                  <c:v>552</c:v>
                </c:pt>
                <c:pt idx="18">
                  <c:v>2147</c:v>
                </c:pt>
                <c:pt idx="19">
                  <c:v>3050</c:v>
                </c:pt>
                <c:pt idx="20">
                  <c:v>1263</c:v>
                </c:pt>
                <c:pt idx="21">
                  <c:v>3061</c:v>
                </c:pt>
                <c:pt idx="22">
                  <c:v>2575</c:v>
                </c:pt>
                <c:pt idx="23">
                  <c:v>1303</c:v>
                </c:pt>
              </c:numCache>
            </c:numRef>
          </c:val>
          <c:extLst>
            <c:ext xmlns:c16="http://schemas.microsoft.com/office/drawing/2014/chart" uri="{C3380CC4-5D6E-409C-BE32-E72D297353CC}">
              <c16:uniqueId val="{00000001-DAB6-414E-9DDE-A8DFB6CFF2F9}"/>
            </c:ext>
          </c:extLst>
        </c:ser>
        <c:ser>
          <c:idx val="2"/>
          <c:order val="2"/>
          <c:tx>
            <c:strRef>
              <c:f>'Cleaned Data &amp; Pivot Table'!$R$1</c:f>
              <c:strCache>
                <c:ptCount val="1"/>
                <c:pt idx="0">
                  <c:v>% </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0-BC14-4642-8167-9C1D6BCF9ECD}"/>
              </c:ext>
            </c:extLst>
          </c:dPt>
          <c:dPt>
            <c:idx val="1"/>
            <c:invertIfNegative val="0"/>
            <c:bubble3D val="0"/>
            <c:extLst>
              <c:ext xmlns:c16="http://schemas.microsoft.com/office/drawing/2014/chart" uri="{C3380CC4-5D6E-409C-BE32-E72D297353CC}">
                <c16:uniqueId val="{00000001-BC14-4642-8167-9C1D6BCF9ECD}"/>
              </c:ext>
            </c:extLst>
          </c:dPt>
          <c:dPt>
            <c:idx val="2"/>
            <c:invertIfNegative val="0"/>
            <c:bubble3D val="0"/>
            <c:extLst>
              <c:ext xmlns:c16="http://schemas.microsoft.com/office/drawing/2014/chart" uri="{C3380CC4-5D6E-409C-BE32-E72D297353CC}">
                <c16:uniqueId val="{0000000C-BC14-4642-8167-9C1D6BCF9ECD}"/>
              </c:ext>
            </c:extLst>
          </c:dPt>
          <c:dPt>
            <c:idx val="3"/>
            <c:invertIfNegative val="0"/>
            <c:bubble3D val="0"/>
            <c:extLst>
              <c:ext xmlns:c16="http://schemas.microsoft.com/office/drawing/2014/chart" uri="{C3380CC4-5D6E-409C-BE32-E72D297353CC}">
                <c16:uniqueId val="{00000002-BC14-4642-8167-9C1D6BCF9ECD}"/>
              </c:ext>
            </c:extLst>
          </c:dPt>
          <c:dPt>
            <c:idx val="4"/>
            <c:invertIfNegative val="0"/>
            <c:bubble3D val="0"/>
            <c:extLst>
              <c:ext xmlns:c16="http://schemas.microsoft.com/office/drawing/2014/chart" uri="{C3380CC4-5D6E-409C-BE32-E72D297353CC}">
                <c16:uniqueId val="{0000000D-BC14-4642-8167-9C1D6BCF9ECD}"/>
              </c:ext>
            </c:extLst>
          </c:dPt>
          <c:dPt>
            <c:idx val="5"/>
            <c:invertIfNegative val="0"/>
            <c:bubble3D val="0"/>
            <c:extLst>
              <c:ext xmlns:c16="http://schemas.microsoft.com/office/drawing/2014/chart" uri="{C3380CC4-5D6E-409C-BE32-E72D297353CC}">
                <c16:uniqueId val="{00000011-BC14-4642-8167-9C1D6BCF9ECD}"/>
              </c:ext>
            </c:extLst>
          </c:dPt>
          <c:dPt>
            <c:idx val="6"/>
            <c:invertIfNegative val="0"/>
            <c:bubble3D val="0"/>
            <c:extLst>
              <c:ext xmlns:c16="http://schemas.microsoft.com/office/drawing/2014/chart" uri="{C3380CC4-5D6E-409C-BE32-E72D297353CC}">
                <c16:uniqueId val="{00000012-BC14-4642-8167-9C1D6BCF9ECD}"/>
              </c:ext>
            </c:extLst>
          </c:dPt>
          <c:dPt>
            <c:idx val="7"/>
            <c:invertIfNegative val="0"/>
            <c:bubble3D val="0"/>
            <c:extLst>
              <c:ext xmlns:c16="http://schemas.microsoft.com/office/drawing/2014/chart" uri="{C3380CC4-5D6E-409C-BE32-E72D297353CC}">
                <c16:uniqueId val="{00000013-BC14-4642-8167-9C1D6BCF9ECD}"/>
              </c:ext>
            </c:extLst>
          </c:dPt>
          <c:dPt>
            <c:idx val="8"/>
            <c:invertIfNegative val="0"/>
            <c:bubble3D val="0"/>
            <c:extLst>
              <c:ext xmlns:c16="http://schemas.microsoft.com/office/drawing/2014/chart" uri="{C3380CC4-5D6E-409C-BE32-E72D297353CC}">
                <c16:uniqueId val="{00000014-BC14-4642-8167-9C1D6BCF9ECD}"/>
              </c:ext>
            </c:extLst>
          </c:dPt>
          <c:dPt>
            <c:idx val="9"/>
            <c:invertIfNegative val="0"/>
            <c:bubble3D val="0"/>
            <c:extLst>
              <c:ext xmlns:c16="http://schemas.microsoft.com/office/drawing/2014/chart" uri="{C3380CC4-5D6E-409C-BE32-E72D297353CC}">
                <c16:uniqueId val="{00000015-BC14-4642-8167-9C1D6BCF9ECD}"/>
              </c:ext>
            </c:extLst>
          </c:dPt>
          <c:dPt>
            <c:idx val="10"/>
            <c:invertIfNegative val="0"/>
            <c:bubble3D val="0"/>
            <c:extLst>
              <c:ext xmlns:c16="http://schemas.microsoft.com/office/drawing/2014/chart" uri="{C3380CC4-5D6E-409C-BE32-E72D297353CC}">
                <c16:uniqueId val="{00000016-BC14-4642-8167-9C1D6BCF9ECD}"/>
              </c:ext>
            </c:extLst>
          </c:dPt>
          <c:dPt>
            <c:idx val="11"/>
            <c:invertIfNegative val="0"/>
            <c:bubble3D val="0"/>
            <c:extLst>
              <c:ext xmlns:c16="http://schemas.microsoft.com/office/drawing/2014/chart" uri="{C3380CC4-5D6E-409C-BE32-E72D297353CC}">
                <c16:uniqueId val="{00000017-BC14-4642-8167-9C1D6BCF9ECD}"/>
              </c:ext>
            </c:extLst>
          </c:dPt>
          <c:dPt>
            <c:idx val="12"/>
            <c:invertIfNegative val="0"/>
            <c:bubble3D val="0"/>
            <c:extLst>
              <c:ext xmlns:c16="http://schemas.microsoft.com/office/drawing/2014/chart" uri="{C3380CC4-5D6E-409C-BE32-E72D297353CC}">
                <c16:uniqueId val="{0000000F-BC14-4642-8167-9C1D6BCF9ECD}"/>
              </c:ext>
            </c:extLst>
          </c:dPt>
          <c:dPt>
            <c:idx val="13"/>
            <c:invertIfNegative val="0"/>
            <c:bubble3D val="0"/>
            <c:extLst>
              <c:ext xmlns:c16="http://schemas.microsoft.com/office/drawing/2014/chart" uri="{C3380CC4-5D6E-409C-BE32-E72D297353CC}">
                <c16:uniqueId val="{00000010-BC14-4642-8167-9C1D6BCF9ECD}"/>
              </c:ext>
            </c:extLst>
          </c:dPt>
          <c:dPt>
            <c:idx val="14"/>
            <c:invertIfNegative val="0"/>
            <c:bubble3D val="0"/>
            <c:extLst>
              <c:ext xmlns:c16="http://schemas.microsoft.com/office/drawing/2014/chart" uri="{C3380CC4-5D6E-409C-BE32-E72D297353CC}">
                <c16:uniqueId val="{0000000E-BC14-4642-8167-9C1D6BCF9ECD}"/>
              </c:ext>
            </c:extLst>
          </c:dPt>
          <c:dPt>
            <c:idx val="15"/>
            <c:invertIfNegative val="0"/>
            <c:bubble3D val="0"/>
            <c:extLst>
              <c:ext xmlns:c16="http://schemas.microsoft.com/office/drawing/2014/chart" uri="{C3380CC4-5D6E-409C-BE32-E72D297353CC}">
                <c16:uniqueId val="{00000003-BC14-4642-8167-9C1D6BCF9ECD}"/>
              </c:ext>
            </c:extLst>
          </c:dPt>
          <c:dPt>
            <c:idx val="16"/>
            <c:invertIfNegative val="0"/>
            <c:bubble3D val="0"/>
            <c:extLst>
              <c:ext xmlns:c16="http://schemas.microsoft.com/office/drawing/2014/chart" uri="{C3380CC4-5D6E-409C-BE32-E72D297353CC}">
                <c16:uniqueId val="{0000000B-BC14-4642-8167-9C1D6BCF9ECD}"/>
              </c:ext>
            </c:extLst>
          </c:dPt>
          <c:dPt>
            <c:idx val="17"/>
            <c:invertIfNegative val="0"/>
            <c:bubble3D val="0"/>
            <c:extLst>
              <c:ext xmlns:c16="http://schemas.microsoft.com/office/drawing/2014/chart" uri="{C3380CC4-5D6E-409C-BE32-E72D297353CC}">
                <c16:uniqueId val="{00000004-BC14-4642-8167-9C1D6BCF9ECD}"/>
              </c:ext>
            </c:extLst>
          </c:dPt>
          <c:dPt>
            <c:idx val="18"/>
            <c:invertIfNegative val="0"/>
            <c:bubble3D val="0"/>
            <c:extLst>
              <c:ext xmlns:c16="http://schemas.microsoft.com/office/drawing/2014/chart" uri="{C3380CC4-5D6E-409C-BE32-E72D297353CC}">
                <c16:uniqueId val="{0000000A-BC14-4642-8167-9C1D6BCF9ECD}"/>
              </c:ext>
            </c:extLst>
          </c:dPt>
          <c:dPt>
            <c:idx val="19"/>
            <c:invertIfNegative val="0"/>
            <c:bubble3D val="0"/>
            <c:extLst>
              <c:ext xmlns:c16="http://schemas.microsoft.com/office/drawing/2014/chart" uri="{C3380CC4-5D6E-409C-BE32-E72D297353CC}">
                <c16:uniqueId val="{00000009-BC14-4642-8167-9C1D6BCF9ECD}"/>
              </c:ext>
            </c:extLst>
          </c:dPt>
          <c:dPt>
            <c:idx val="20"/>
            <c:invertIfNegative val="0"/>
            <c:bubble3D val="0"/>
            <c:extLst>
              <c:ext xmlns:c16="http://schemas.microsoft.com/office/drawing/2014/chart" uri="{C3380CC4-5D6E-409C-BE32-E72D297353CC}">
                <c16:uniqueId val="{00000005-BC14-4642-8167-9C1D6BCF9ECD}"/>
              </c:ext>
            </c:extLst>
          </c:dPt>
          <c:dPt>
            <c:idx val="21"/>
            <c:invertIfNegative val="0"/>
            <c:bubble3D val="0"/>
            <c:extLst>
              <c:ext xmlns:c16="http://schemas.microsoft.com/office/drawing/2014/chart" uri="{C3380CC4-5D6E-409C-BE32-E72D297353CC}">
                <c16:uniqueId val="{00000008-BC14-4642-8167-9C1D6BCF9ECD}"/>
              </c:ext>
            </c:extLst>
          </c:dPt>
          <c:dPt>
            <c:idx val="22"/>
            <c:invertIfNegative val="0"/>
            <c:bubble3D val="0"/>
            <c:extLst>
              <c:ext xmlns:c16="http://schemas.microsoft.com/office/drawing/2014/chart" uri="{C3380CC4-5D6E-409C-BE32-E72D297353CC}">
                <c16:uniqueId val="{00000007-BC14-4642-8167-9C1D6BCF9ECD}"/>
              </c:ext>
            </c:extLst>
          </c:dPt>
          <c:dPt>
            <c:idx val="23"/>
            <c:invertIfNegative val="0"/>
            <c:bubble3D val="0"/>
            <c:extLst>
              <c:ext xmlns:c16="http://schemas.microsoft.com/office/drawing/2014/chart" uri="{C3380CC4-5D6E-409C-BE32-E72D297353CC}">
                <c16:uniqueId val="{00000006-BC14-4642-8167-9C1D6BCF9ECD}"/>
              </c:ext>
            </c:extLst>
          </c:dPt>
          <c:dLbls>
            <c:dLbl>
              <c:idx val="0"/>
              <c:layout>
                <c:manualLayout>
                  <c:x val="-6.6366432589994541E-3"/>
                  <c:y val="0.145048846363093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C14-4642-8167-9C1D6BCF9ECD}"/>
                </c:ext>
              </c:extLst>
            </c:dLbl>
            <c:dLbl>
              <c:idx val="1"/>
              <c:layout>
                <c:manualLayout>
                  <c:x val="-6.6366432589994454E-3"/>
                  <c:y val="0.142259445471495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C14-4642-8167-9C1D6BCF9ECD}"/>
                </c:ext>
              </c:extLst>
            </c:dLbl>
            <c:dLbl>
              <c:idx val="2"/>
              <c:layout>
                <c:manualLayout>
                  <c:x val="-1.1377102729713352E-2"/>
                  <c:y val="0.111576035663917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C14-4642-8167-9C1D6BCF9ECD}"/>
                </c:ext>
              </c:extLst>
            </c:dLbl>
            <c:dLbl>
              <c:idx val="3"/>
              <c:layout>
                <c:manualLayout>
                  <c:x val="-5.6885513648566675E-3"/>
                  <c:y val="0.100418432097526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C14-4642-8167-9C1D6BCF9ECD}"/>
                </c:ext>
              </c:extLst>
            </c:dLbl>
            <c:dLbl>
              <c:idx val="4"/>
              <c:layout>
                <c:manualLayout>
                  <c:x val="-9.4809189414277791E-3"/>
                  <c:y val="0.142259445471495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C14-4642-8167-9C1D6BCF9ECD}"/>
                </c:ext>
              </c:extLst>
            </c:dLbl>
            <c:dLbl>
              <c:idx val="5"/>
              <c:layout>
                <c:manualLayout>
                  <c:x val="-1.1377102729713335E-2"/>
                  <c:y val="0.131101841905103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C14-4642-8167-9C1D6BCF9ECD}"/>
                </c:ext>
              </c:extLst>
            </c:dLbl>
            <c:dLbl>
              <c:idx val="6"/>
              <c:layout>
                <c:manualLayout>
                  <c:x val="-4.7404594707138896E-3"/>
                  <c:y val="0.117154837447113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BC14-4642-8167-9C1D6BCF9ECD}"/>
                </c:ext>
              </c:extLst>
            </c:dLbl>
            <c:dLbl>
              <c:idx val="7"/>
              <c:layout>
                <c:manualLayout>
                  <c:x val="-4.7404594707138896E-3"/>
                  <c:y val="0.105997233880721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BC14-4642-8167-9C1D6BCF9ECD}"/>
                </c:ext>
              </c:extLst>
            </c:dLbl>
            <c:dLbl>
              <c:idx val="8"/>
              <c:layout>
                <c:manualLayout>
                  <c:x val="-5.6885513648566675E-3"/>
                  <c:y val="0.133891242796701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BC14-4642-8167-9C1D6BCF9ECD}"/>
                </c:ext>
              </c:extLst>
            </c:dLbl>
            <c:dLbl>
              <c:idx val="9"/>
              <c:layout>
                <c:manualLayout>
                  <c:x val="-5.6885513648567369E-3"/>
                  <c:y val="0.119944238338711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BC14-4642-8167-9C1D6BCF9ECD}"/>
                </c:ext>
              </c:extLst>
            </c:dLbl>
            <c:dLbl>
              <c:idx val="10"/>
              <c:layout>
                <c:manualLayout>
                  <c:x val="-7.5847351531422233E-3"/>
                  <c:y val="0.150627648146289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BC14-4642-8167-9C1D6BCF9ECD}"/>
                </c:ext>
              </c:extLst>
            </c:dLbl>
            <c:dLbl>
              <c:idx val="11"/>
              <c:layout>
                <c:manualLayout>
                  <c:x val="-8.5328270472850003E-3"/>
                  <c:y val="0.170153454387475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BC14-4642-8167-9C1D6BCF9ECD}"/>
                </c:ext>
              </c:extLst>
            </c:dLbl>
            <c:dLbl>
              <c:idx val="12"/>
              <c:layout>
                <c:manualLayout>
                  <c:x val="-7.5847351531422233E-3"/>
                  <c:y val="0.139470044579897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C14-4642-8167-9C1D6BCF9ECD}"/>
                </c:ext>
              </c:extLst>
            </c:dLbl>
            <c:dLbl>
              <c:idx val="13"/>
              <c:layout>
                <c:manualLayout>
                  <c:x val="-6.6366432589994454E-3"/>
                  <c:y val="0.131101841905103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C14-4642-8167-9C1D6BCF9ECD}"/>
                </c:ext>
              </c:extLst>
            </c:dLbl>
            <c:dLbl>
              <c:idx val="14"/>
              <c:layout>
                <c:manualLayout>
                  <c:x val="-9.4809189414277791E-3"/>
                  <c:y val="0.111576035663918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C14-4642-8167-9C1D6BCF9ECD}"/>
                </c:ext>
              </c:extLst>
            </c:dLbl>
            <c:dLbl>
              <c:idx val="15"/>
              <c:layout>
                <c:manualLayout>
                  <c:x val="-9.4809189414279179E-3"/>
                  <c:y val="0.111576035663917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C14-4642-8167-9C1D6BCF9ECD}"/>
                </c:ext>
              </c:extLst>
            </c:dLbl>
            <c:dLbl>
              <c:idx val="16"/>
              <c:layout>
                <c:manualLayout>
                  <c:x val="-9.4809189414279179E-3"/>
                  <c:y val="0.142259445471495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C14-4642-8167-9C1D6BCF9ECD}"/>
                </c:ext>
              </c:extLst>
            </c:dLbl>
            <c:dLbl>
              <c:idx val="17"/>
              <c:layout>
                <c:manualLayout>
                  <c:x val="-9.4809189414277791E-3"/>
                  <c:y val="0.133891242796701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C14-4642-8167-9C1D6BCF9ECD}"/>
                </c:ext>
              </c:extLst>
            </c:dLbl>
            <c:dLbl>
              <c:idx val="18"/>
              <c:layout>
                <c:manualLayout>
                  <c:x val="-6.6366432589994454E-3"/>
                  <c:y val="0.10320783298912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C14-4642-8167-9C1D6BCF9ECD}"/>
                </c:ext>
              </c:extLst>
            </c:dLbl>
            <c:dLbl>
              <c:idx val="19"/>
              <c:layout>
                <c:manualLayout>
                  <c:x val="-8.5328270472851391E-3"/>
                  <c:y val="0.105997233880722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C14-4642-8167-9C1D6BCF9ECD}"/>
                </c:ext>
              </c:extLst>
            </c:dLbl>
            <c:dLbl>
              <c:idx val="20"/>
              <c:layout>
                <c:manualLayout>
                  <c:x val="-9.4809189414279179E-3"/>
                  <c:y val="0.133891242796701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C14-4642-8167-9C1D6BCF9ECD}"/>
                </c:ext>
              </c:extLst>
            </c:dLbl>
            <c:dLbl>
              <c:idx val="21"/>
              <c:layout>
                <c:manualLayout>
                  <c:x val="-8.5328270472850003E-3"/>
                  <c:y val="0.100418432097526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C14-4642-8167-9C1D6BCF9ECD}"/>
                </c:ext>
              </c:extLst>
            </c:dLbl>
            <c:dLbl>
              <c:idx val="22"/>
              <c:layout>
                <c:manualLayout>
                  <c:x val="-8.5328270472850003E-3"/>
                  <c:y val="0.133891242796701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C14-4642-8167-9C1D6BCF9ECD}"/>
                </c:ext>
              </c:extLst>
            </c:dLbl>
            <c:dLbl>
              <c:idx val="23"/>
              <c:layout>
                <c:manualLayout>
                  <c:x val="-1.1377102729713474E-2"/>
                  <c:y val="0.164574652604279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C14-4642-8167-9C1D6BCF9ECD}"/>
                </c:ext>
              </c:extLst>
            </c:dLbl>
            <c:spPr>
              <a:solidFill>
                <a:srgbClr val="92D050"/>
              </a:solid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'Cleaned Data &amp; Pivot Table'!$O$2:$O$28</c:f>
              <c:multiLvlStrCache>
                <c:ptCount val="24"/>
                <c:lvl>
                  <c:pt idx="0">
                    <c:v>East Midlands</c:v>
                  </c:pt>
                  <c:pt idx="1">
                    <c:v>East of England</c:v>
                  </c:pt>
                  <c:pt idx="2">
                    <c:v>London</c:v>
                  </c:pt>
                  <c:pt idx="3">
                    <c:v>North East</c:v>
                  </c:pt>
                  <c:pt idx="4">
                    <c:v>North West</c:v>
                  </c:pt>
                  <c:pt idx="5">
                    <c:v>Northern Ireland</c:v>
                  </c:pt>
                  <c:pt idx="6">
                    <c:v>Scotland</c:v>
                  </c:pt>
                  <c:pt idx="7">
                    <c:v>South East</c:v>
                  </c:pt>
                  <c:pt idx="8">
                    <c:v>South West</c:v>
                  </c:pt>
                  <c:pt idx="9">
                    <c:v>Wales</c:v>
                  </c:pt>
                  <c:pt idx="10">
                    <c:v>West Midlands</c:v>
                  </c:pt>
                  <c:pt idx="11">
                    <c:v>Yorkshire and the Humber</c:v>
                  </c:pt>
                  <c:pt idx="12">
                    <c:v>East Midlands</c:v>
                  </c:pt>
                  <c:pt idx="13">
                    <c:v>East of England</c:v>
                  </c:pt>
                  <c:pt idx="14">
                    <c:v>London</c:v>
                  </c:pt>
                  <c:pt idx="15">
                    <c:v>North East</c:v>
                  </c:pt>
                  <c:pt idx="16">
                    <c:v>North West</c:v>
                  </c:pt>
                  <c:pt idx="17">
                    <c:v>Northern Ireland</c:v>
                  </c:pt>
                  <c:pt idx="18">
                    <c:v>Scotland</c:v>
                  </c:pt>
                  <c:pt idx="19">
                    <c:v>South East</c:v>
                  </c:pt>
                  <c:pt idx="20">
                    <c:v>South West</c:v>
                  </c:pt>
                  <c:pt idx="21">
                    <c:v>Wales</c:v>
                  </c:pt>
                  <c:pt idx="22">
                    <c:v>West Midlands</c:v>
                  </c:pt>
                  <c:pt idx="23">
                    <c:v>Yorkshire and the Humber</c:v>
                  </c:pt>
                </c:lvl>
                <c:lvl>
                  <c:pt idx="0">
                    <c:v>Fire</c:v>
                  </c:pt>
                  <c:pt idx="12">
                    <c:v>Police</c:v>
                  </c:pt>
                </c:lvl>
              </c:multiLvlStrCache>
            </c:multiLvlStrRef>
          </c:cat>
          <c:val>
            <c:numRef>
              <c:f>'Cleaned Data &amp; Pivot Table'!$R$2:$R$28</c:f>
              <c:numCache>
                <c:formatCode>0%</c:formatCode>
                <c:ptCount val="24"/>
                <c:pt idx="0">
                  <c:v>0.56000000000000005</c:v>
                </c:pt>
                <c:pt idx="1">
                  <c:v>0.67947787977609697</c:v>
                </c:pt>
                <c:pt idx="2">
                  <c:v>0.52180797785664856</c:v>
                </c:pt>
                <c:pt idx="3">
                  <c:v>0.75445205879585564</c:v>
                </c:pt>
                <c:pt idx="4">
                  <c:v>0.80145728108245606</c:v>
                </c:pt>
                <c:pt idx="5">
                  <c:v>0.78709458587374415</c:v>
                </c:pt>
                <c:pt idx="6">
                  <c:v>0.8889456498721553</c:v>
                </c:pt>
                <c:pt idx="7">
                  <c:v>0.69711743294745487</c:v>
                </c:pt>
                <c:pt idx="8">
                  <c:v>0.44299556076636321</c:v>
                </c:pt>
                <c:pt idx="9">
                  <c:v>0.63690285789157919</c:v>
                </c:pt>
                <c:pt idx="10">
                  <c:v>0.76537546012455782</c:v>
                </c:pt>
                <c:pt idx="11">
                  <c:v>0.7995915170287764</c:v>
                </c:pt>
                <c:pt idx="12">
                  <c:v>0.93158153904268515</c:v>
                </c:pt>
                <c:pt idx="13">
                  <c:v>0.55069883429032684</c:v>
                </c:pt>
                <c:pt idx="14">
                  <c:v>0.83164728342391836</c:v>
                </c:pt>
                <c:pt idx="15">
                  <c:v>0.91789819376026272</c:v>
                </c:pt>
                <c:pt idx="16">
                  <c:v>0.88313297646598155</c:v>
                </c:pt>
                <c:pt idx="17">
                  <c:v>0.32172240075210529</c:v>
                </c:pt>
                <c:pt idx="18">
                  <c:v>0.55886352508951931</c:v>
                </c:pt>
                <c:pt idx="19">
                  <c:v>0.75273899040059378</c:v>
                </c:pt>
                <c:pt idx="20">
                  <c:v>0.86798056155507564</c:v>
                </c:pt>
                <c:pt idx="21">
                  <c:v>0.7213326075678802</c:v>
                </c:pt>
                <c:pt idx="22">
                  <c:v>0.80242982073032021</c:v>
                </c:pt>
                <c:pt idx="23">
                  <c:v>1</c:v>
                </c:pt>
              </c:numCache>
            </c:numRef>
          </c:val>
          <c:extLst>
            <c:ext xmlns:c16="http://schemas.microsoft.com/office/drawing/2014/chart" uri="{C3380CC4-5D6E-409C-BE32-E72D297353CC}">
              <c16:uniqueId val="{00000005-DAB6-414E-9DDE-A8DFB6CFF2F9}"/>
            </c:ext>
          </c:extLst>
        </c:ser>
        <c:dLbls>
          <c:showLegendKey val="0"/>
          <c:showVal val="1"/>
          <c:showCatName val="0"/>
          <c:showSerName val="0"/>
          <c:showPercent val="0"/>
          <c:showBubbleSize val="0"/>
        </c:dLbls>
        <c:gapWidth val="150"/>
        <c:axId val="818966799"/>
        <c:axId val="1050896048"/>
      </c:barChart>
      <c:catAx>
        <c:axId val="81896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50896048"/>
        <c:crosses val="autoZero"/>
        <c:auto val="1"/>
        <c:lblAlgn val="ctr"/>
        <c:lblOffset val="100"/>
        <c:noMultiLvlLbl val="0"/>
      </c:catAx>
      <c:valAx>
        <c:axId val="1050896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89667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 Services Review Project.xlsx]Cleaned Data &amp; Pivot Table!PivotTable18</c:name>
    <c:fmtId val="3"/>
  </c:pivotSource>
  <c:chart>
    <c:title>
      <c:tx>
        <c:rich>
          <a:bodyPr rot="0" spcFirstLastPara="1" vertOverflow="ellipsis" vert="horz" wrap="square" anchor="ctr" anchorCtr="1"/>
          <a:lstStyle/>
          <a:p>
            <a:pPr>
              <a:defRPr sz="1400" b="1" i="1" u="sng" strike="noStrike" kern="1200" spc="0" baseline="0">
                <a:solidFill>
                  <a:schemeClr val="bg1"/>
                </a:solidFill>
                <a:latin typeface="+mn-lt"/>
                <a:ea typeface="+mn-ea"/>
                <a:cs typeface="+mn-cs"/>
              </a:defRPr>
            </a:pPr>
            <a:r>
              <a:rPr lang="en-US" b="1" i="1" u="sng"/>
              <a:t>Fire Satisfaction Rating (%)</a:t>
            </a:r>
          </a:p>
        </c:rich>
      </c:tx>
      <c:overlay val="0"/>
      <c:spPr>
        <a:noFill/>
        <a:ln>
          <a:noFill/>
        </a:ln>
        <a:effectLst/>
      </c:spPr>
      <c:txPr>
        <a:bodyPr rot="0" spcFirstLastPara="1" vertOverflow="ellipsis" vert="horz" wrap="square" anchor="ctr" anchorCtr="1"/>
        <a:lstStyle/>
        <a:p>
          <a:pPr>
            <a:defRPr sz="1400" b="1" i="1" u="sng"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pivotFmt>
    </c:pivotFmts>
    <c:plotArea>
      <c:layout/>
      <c:barChart>
        <c:barDir val="bar"/>
        <c:grouping val="clustered"/>
        <c:varyColors val="0"/>
        <c:ser>
          <c:idx val="0"/>
          <c:order val="0"/>
          <c:tx>
            <c:strRef>
              <c:f>'Cleaned Data &amp; Pivot Table'!$U$33</c:f>
              <c:strCache>
                <c:ptCount val="1"/>
                <c:pt idx="0">
                  <c:v>Total</c:v>
                </c:pt>
              </c:strCache>
            </c:strRef>
          </c:tx>
          <c:spPr>
            <a:solidFill>
              <a:srgbClr val="FF0000"/>
            </a:solidFill>
            <a:ln>
              <a:noFill/>
            </a:ln>
            <a:effectLst/>
          </c:spPr>
          <c:invertIfNegative val="0"/>
          <c:dPt>
            <c:idx val="10"/>
            <c:invertIfNegative val="0"/>
            <c:bubble3D val="0"/>
            <c:spPr>
              <a:solidFill>
                <a:srgbClr val="FFFF00"/>
              </a:solidFill>
              <a:ln>
                <a:noFill/>
              </a:ln>
              <a:effectLst/>
            </c:spPr>
            <c:extLst>
              <c:ext xmlns:c16="http://schemas.microsoft.com/office/drawing/2014/chart" uri="{C3380CC4-5D6E-409C-BE32-E72D297353CC}">
                <c16:uniqueId val="{00000001-2F14-4206-94AF-35853148535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'Cleaned Data &amp; Pivot Table'!$T$34:$T$47</c:f>
              <c:multiLvlStrCache>
                <c:ptCount val="12"/>
                <c:lvl>
                  <c:pt idx="0">
                    <c:v>East Midlands</c:v>
                  </c:pt>
                  <c:pt idx="1">
                    <c:v>East of England</c:v>
                  </c:pt>
                  <c:pt idx="2">
                    <c:v>London</c:v>
                  </c:pt>
                  <c:pt idx="3">
                    <c:v>North East</c:v>
                  </c:pt>
                  <c:pt idx="4">
                    <c:v>North West</c:v>
                  </c:pt>
                  <c:pt idx="5">
                    <c:v>Northern Ireland</c:v>
                  </c:pt>
                  <c:pt idx="6">
                    <c:v>Scotland</c:v>
                  </c:pt>
                  <c:pt idx="7">
                    <c:v>South East</c:v>
                  </c:pt>
                  <c:pt idx="8">
                    <c:v>South West</c:v>
                  </c:pt>
                  <c:pt idx="9">
                    <c:v>Wales</c:v>
                  </c:pt>
                  <c:pt idx="10">
                    <c:v>West Midlands</c:v>
                  </c:pt>
                  <c:pt idx="11">
                    <c:v>Yorkshire and the Humber</c:v>
                  </c:pt>
                </c:lvl>
                <c:lvl>
                  <c:pt idx="0">
                    <c:v>Fire</c:v>
                  </c:pt>
                </c:lvl>
              </c:multiLvlStrCache>
            </c:multiLvlStrRef>
          </c:cat>
          <c:val>
            <c:numRef>
              <c:f>'Cleaned Data &amp; Pivot Table'!$U$34:$U$47</c:f>
              <c:numCache>
                <c:formatCode>0.0</c:formatCode>
                <c:ptCount val="12"/>
                <c:pt idx="0">
                  <c:v>83.5</c:v>
                </c:pt>
                <c:pt idx="1">
                  <c:v>72.285714285714292</c:v>
                </c:pt>
                <c:pt idx="2">
                  <c:v>75.8</c:v>
                </c:pt>
                <c:pt idx="3">
                  <c:v>83.6</c:v>
                </c:pt>
                <c:pt idx="4">
                  <c:v>81.333333333333329</c:v>
                </c:pt>
                <c:pt idx="5">
                  <c:v>80.5</c:v>
                </c:pt>
                <c:pt idx="6">
                  <c:v>80</c:v>
                </c:pt>
                <c:pt idx="7">
                  <c:v>73.125</c:v>
                </c:pt>
                <c:pt idx="8">
                  <c:v>80.333333333333329</c:v>
                </c:pt>
                <c:pt idx="9">
                  <c:v>81</c:v>
                </c:pt>
                <c:pt idx="10">
                  <c:v>84.142857142857139</c:v>
                </c:pt>
                <c:pt idx="11">
                  <c:v>83.142857142857139</c:v>
                </c:pt>
              </c:numCache>
            </c:numRef>
          </c:val>
          <c:extLst>
            <c:ext xmlns:c16="http://schemas.microsoft.com/office/drawing/2014/chart" uri="{C3380CC4-5D6E-409C-BE32-E72D297353CC}">
              <c16:uniqueId val="{00000000-2F14-4206-94AF-35853148535A}"/>
            </c:ext>
          </c:extLst>
        </c:ser>
        <c:dLbls>
          <c:showLegendKey val="0"/>
          <c:showVal val="0"/>
          <c:showCatName val="0"/>
          <c:showSerName val="0"/>
          <c:showPercent val="0"/>
          <c:showBubbleSize val="0"/>
        </c:dLbls>
        <c:gapWidth val="182"/>
        <c:axId val="1097159967"/>
        <c:axId val="1996990512"/>
      </c:barChart>
      <c:catAx>
        <c:axId val="1097159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96990512"/>
        <c:crosses val="autoZero"/>
        <c:auto val="1"/>
        <c:lblAlgn val="ctr"/>
        <c:lblOffset val="100"/>
        <c:noMultiLvlLbl val="0"/>
      </c:catAx>
      <c:valAx>
        <c:axId val="1996990512"/>
        <c:scaling>
          <c:orientation val="minMax"/>
          <c:max val="100"/>
          <c:min val="0"/>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9715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[Emergency Services Review Project.xlsx]Cleaned Data &amp; Pivot Table!PivotTable19</c:name>
    <c:fmtId val="7"/>
  </c:pivotSource>
  <c:chart>
    <c:title>
      <c:tx>
        <c:rich>
          <a:bodyPr rot="0" spcFirstLastPara="1" vertOverflow="ellipsis" vert="horz" wrap="square" anchor="ctr" anchorCtr="1"/>
          <a:lstStyle/>
          <a:p>
            <a:pPr>
              <a:defRPr sz="1400" b="1" i="1" u="sng" strike="noStrike" kern="1200" spc="0" baseline="0">
                <a:solidFill>
                  <a:schemeClr val="bg1"/>
                </a:solidFill>
                <a:latin typeface="+mn-lt"/>
                <a:ea typeface="+mn-ea"/>
                <a:cs typeface="+mn-cs"/>
              </a:defRPr>
            </a:pPr>
            <a:r>
              <a:rPr lang="en-US" b="1" i="1" u="sng"/>
              <a:t>Police Statisfation Rating</a:t>
            </a:r>
            <a:r>
              <a:rPr lang="en-US" b="1" i="1" u="sng" baseline="0"/>
              <a:t> (%)</a:t>
            </a:r>
            <a:endParaRPr lang="en-US" b="1" i="1" u="sng"/>
          </a:p>
        </c:rich>
      </c:tx>
      <c:overlay val="0"/>
      <c:spPr>
        <a:noFill/>
        <a:ln>
          <a:noFill/>
        </a:ln>
        <a:effectLst/>
      </c:spPr>
      <c:txPr>
        <a:bodyPr rot="0" spcFirstLastPara="1" vertOverflow="ellipsis" vert="horz" wrap="square" anchor="ctr" anchorCtr="1"/>
        <a:lstStyle/>
        <a:p>
          <a:pPr>
            <a:defRPr sz="1400" b="1" i="1" u="sng"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pivotFmt>
    </c:pivotFmts>
    <c:plotArea>
      <c:layout/>
      <c:barChart>
        <c:barDir val="bar"/>
        <c:grouping val="clustered"/>
        <c:varyColors val="0"/>
        <c:ser>
          <c:idx val="0"/>
          <c:order val="0"/>
          <c:tx>
            <c:strRef>
              <c:f>'Cleaned Data &amp; Pivot Table'!$U$49</c:f>
              <c:strCache>
                <c:ptCount val="1"/>
                <c:pt idx="0">
                  <c:v>Total</c:v>
                </c:pt>
              </c:strCache>
            </c:strRef>
          </c:tx>
          <c:spPr>
            <a:solidFill>
              <a:schemeClr val="accent1"/>
            </a:solidFill>
            <a:ln>
              <a:noFill/>
            </a:ln>
            <a:effectLst/>
          </c:spPr>
          <c:invertIfNegative val="0"/>
          <c:dPt>
            <c:idx val="5"/>
            <c:invertIfNegative val="0"/>
            <c:bubble3D val="0"/>
            <c:spPr>
              <a:solidFill>
                <a:srgbClr val="FFFF00"/>
              </a:solidFill>
              <a:ln>
                <a:noFill/>
              </a:ln>
              <a:effectLst/>
            </c:spPr>
            <c:extLst>
              <c:ext xmlns:c16="http://schemas.microsoft.com/office/drawing/2014/chart" uri="{C3380CC4-5D6E-409C-BE32-E72D297353CC}">
                <c16:uniqueId val="{00000001-680D-444B-9A83-98C74E9313EE}"/>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'Cleaned Data &amp; Pivot Table'!$T$50:$T$63</c:f>
              <c:multiLvlStrCache>
                <c:ptCount val="12"/>
                <c:lvl>
                  <c:pt idx="0">
                    <c:v>East Midlands</c:v>
                  </c:pt>
                  <c:pt idx="1">
                    <c:v>East of England</c:v>
                  </c:pt>
                  <c:pt idx="2">
                    <c:v>London</c:v>
                  </c:pt>
                  <c:pt idx="3">
                    <c:v>North East</c:v>
                  </c:pt>
                  <c:pt idx="4">
                    <c:v>North West</c:v>
                  </c:pt>
                  <c:pt idx="5">
                    <c:v>Northern Ireland</c:v>
                  </c:pt>
                  <c:pt idx="6">
                    <c:v>Scotland</c:v>
                  </c:pt>
                  <c:pt idx="7">
                    <c:v>South East</c:v>
                  </c:pt>
                  <c:pt idx="8">
                    <c:v>South West</c:v>
                  </c:pt>
                  <c:pt idx="9">
                    <c:v>Wales</c:v>
                  </c:pt>
                  <c:pt idx="10">
                    <c:v>West Midlands</c:v>
                  </c:pt>
                  <c:pt idx="11">
                    <c:v>Yorkshire and the Humber</c:v>
                  </c:pt>
                </c:lvl>
                <c:lvl>
                  <c:pt idx="0">
                    <c:v>Police</c:v>
                  </c:pt>
                </c:lvl>
              </c:multiLvlStrCache>
            </c:multiLvlStrRef>
          </c:cat>
          <c:val>
            <c:numRef>
              <c:f>'Cleaned Data &amp; Pivot Table'!$U$50:$U$63</c:f>
              <c:numCache>
                <c:formatCode>0.0</c:formatCode>
                <c:ptCount val="12"/>
                <c:pt idx="0">
                  <c:v>82.666666666666671</c:v>
                </c:pt>
                <c:pt idx="1">
                  <c:v>79</c:v>
                </c:pt>
                <c:pt idx="2">
                  <c:v>77.2</c:v>
                </c:pt>
                <c:pt idx="3">
                  <c:v>80.666666666666671</c:v>
                </c:pt>
                <c:pt idx="4">
                  <c:v>86.375</c:v>
                </c:pt>
                <c:pt idx="5">
                  <c:v>96.666666666666671</c:v>
                </c:pt>
                <c:pt idx="6">
                  <c:v>74.857142857142861</c:v>
                </c:pt>
                <c:pt idx="7">
                  <c:v>71.428571428571431</c:v>
                </c:pt>
                <c:pt idx="8">
                  <c:v>83.75</c:v>
                </c:pt>
                <c:pt idx="9">
                  <c:v>74.142857142857139</c:v>
                </c:pt>
                <c:pt idx="10">
                  <c:v>88.875</c:v>
                </c:pt>
                <c:pt idx="11">
                  <c:v>85.666666666666671</c:v>
                </c:pt>
              </c:numCache>
            </c:numRef>
          </c:val>
          <c:extLst>
            <c:ext xmlns:c16="http://schemas.microsoft.com/office/drawing/2014/chart" uri="{C3380CC4-5D6E-409C-BE32-E72D297353CC}">
              <c16:uniqueId val="{00000000-680D-444B-9A83-98C74E9313EE}"/>
            </c:ext>
          </c:extLst>
        </c:ser>
        <c:dLbls>
          <c:showLegendKey val="0"/>
          <c:showVal val="0"/>
          <c:showCatName val="0"/>
          <c:showSerName val="0"/>
          <c:showPercent val="0"/>
          <c:showBubbleSize val="0"/>
        </c:dLbls>
        <c:gapWidth val="182"/>
        <c:axId val="2051058912"/>
        <c:axId val="404335407"/>
      </c:barChart>
      <c:catAx>
        <c:axId val="2051058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4335407"/>
        <c:crosses val="autoZero"/>
        <c:auto val="1"/>
        <c:lblAlgn val="ctr"/>
        <c:lblOffset val="100"/>
        <c:noMultiLvlLbl val="0"/>
      </c:catAx>
      <c:valAx>
        <c:axId val="404335407"/>
        <c:scaling>
          <c:orientation val="minMax"/>
          <c:max val="100"/>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51058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15875</xdr:colOff>
      <xdr:row>3</xdr:row>
      <xdr:rowOff>165100</xdr:rowOff>
    </xdr:from>
    <xdr:to>
      <xdr:col>34</xdr:col>
      <xdr:colOff>73025</xdr:colOff>
      <xdr:row>49</xdr:row>
      <xdr:rowOff>95250</xdr:rowOff>
    </xdr:to>
    <xdr:sp macro="" textlink="">
      <xdr:nvSpPr>
        <xdr:cNvPr id="2" name="TextBox 1">
          <a:extLst>
            <a:ext uri="{FF2B5EF4-FFF2-40B4-BE49-F238E27FC236}">
              <a16:creationId xmlns:a16="http://schemas.microsoft.com/office/drawing/2014/main" id="{5B043D5B-5DBF-A9E3-66F4-E23B35756627}"/>
            </a:ext>
          </a:extLst>
        </xdr:cNvPr>
        <xdr:cNvSpPr txBox="1"/>
      </xdr:nvSpPr>
      <xdr:spPr>
        <a:xfrm>
          <a:off x="3673475" y="736600"/>
          <a:ext cx="17125950" cy="8693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u="sng"/>
            <a:t>ALL HYPOTHOSIS' WILL BE</a:t>
          </a:r>
          <a:r>
            <a:rPr lang="en-GB" sz="2800" b="1" u="sng" baseline="0"/>
            <a:t> LOOKING AT BOTH SERVICES AND EACH DISTRICT </a:t>
          </a:r>
          <a:endParaRPr lang="en-GB" sz="2800" b="1" u="sng"/>
        </a:p>
        <a:p>
          <a:endParaRPr lang="en-GB" sz="2800" b="1"/>
        </a:p>
        <a:p>
          <a:r>
            <a:rPr lang="en-GB" sz="4000" b="1"/>
            <a:t>Q1. How</a:t>
          </a:r>
          <a:r>
            <a:rPr lang="en-GB" sz="4000" b="1" baseline="0"/>
            <a:t> many Cases Were Reported &amp; Resolved ?</a:t>
          </a:r>
          <a:br>
            <a:rPr lang="en-GB" sz="4000" b="1"/>
          </a:br>
          <a:endParaRPr lang="en-GB" sz="4000" b="1"/>
        </a:p>
        <a:p>
          <a:r>
            <a:rPr lang="en-GB" sz="4000" b="1"/>
            <a:t>Q2. </a:t>
          </a:r>
          <a:r>
            <a:rPr lang="en-GB" sz="4000" b="1">
              <a:solidFill>
                <a:schemeClr val="dk1"/>
              </a:solidFill>
              <a:effectLst/>
              <a:latin typeface="+mn-lt"/>
              <a:ea typeface="+mn-ea"/>
              <a:cs typeface="+mn-cs"/>
            </a:rPr>
            <a:t>What Is</a:t>
          </a:r>
          <a:r>
            <a:rPr lang="en-GB" sz="4000" b="1" baseline="0">
              <a:solidFill>
                <a:schemeClr val="dk1"/>
              </a:solidFill>
              <a:effectLst/>
              <a:latin typeface="+mn-lt"/>
              <a:ea typeface="+mn-ea"/>
              <a:cs typeface="+mn-cs"/>
            </a:rPr>
            <a:t> The Total Number Of Employees ?</a:t>
          </a:r>
          <a:endParaRPr lang="en-GB" sz="4000" b="1"/>
        </a:p>
        <a:p>
          <a:endParaRPr lang="en-GB" sz="4000" b="1"/>
        </a:p>
        <a:p>
          <a:r>
            <a:rPr lang="en-GB" sz="4000" b="1"/>
            <a:t>Q3. </a:t>
          </a:r>
          <a:r>
            <a:rPr lang="en-GB" sz="4000" b="1">
              <a:solidFill>
                <a:schemeClr val="dk1"/>
              </a:solidFill>
              <a:effectLst/>
              <a:latin typeface="+mn-lt"/>
              <a:ea typeface="+mn-ea"/>
              <a:cs typeface="+mn-cs"/>
            </a:rPr>
            <a:t>How</a:t>
          </a:r>
          <a:r>
            <a:rPr lang="en-GB" sz="4000" b="1" baseline="0">
              <a:solidFill>
                <a:schemeClr val="dk1"/>
              </a:solidFill>
              <a:effectLst/>
              <a:latin typeface="+mn-lt"/>
              <a:ea typeface="+mn-ea"/>
              <a:cs typeface="+mn-cs"/>
            </a:rPr>
            <a:t> many Specific Incidents Were Reported ?</a:t>
          </a:r>
          <a:endParaRPr lang="en-GB" sz="4000" b="1"/>
        </a:p>
        <a:p>
          <a:endParaRPr lang="en-GB" sz="4000" b="1"/>
        </a:p>
        <a:p>
          <a:r>
            <a:rPr lang="en-GB" sz="4000" b="1"/>
            <a:t>Q4. </a:t>
          </a:r>
          <a:r>
            <a:rPr lang="en-GB" sz="4000" b="1">
              <a:solidFill>
                <a:schemeClr val="dk1"/>
              </a:solidFill>
              <a:effectLst/>
              <a:latin typeface="+mn-lt"/>
              <a:ea typeface="+mn-ea"/>
              <a:cs typeface="+mn-cs"/>
            </a:rPr>
            <a:t>What Is The Average</a:t>
          </a:r>
          <a:r>
            <a:rPr lang="en-GB" sz="4000" b="1" baseline="0">
              <a:solidFill>
                <a:schemeClr val="dk1"/>
              </a:solidFill>
              <a:effectLst/>
              <a:latin typeface="+mn-lt"/>
              <a:ea typeface="+mn-ea"/>
              <a:cs typeface="+mn-cs"/>
            </a:rPr>
            <a:t> Time To Respond ?</a:t>
          </a:r>
          <a:endParaRPr lang="en-GB" sz="4000" b="1"/>
        </a:p>
        <a:p>
          <a:endParaRPr lang="en-GB" sz="4000" b="1"/>
        </a:p>
        <a:p>
          <a:r>
            <a:rPr lang="en-GB" sz="4000" b="1"/>
            <a:t>Q5. </a:t>
          </a:r>
          <a:r>
            <a:rPr lang="en-GB" sz="4000" b="1">
              <a:solidFill>
                <a:schemeClr val="dk1"/>
              </a:solidFill>
              <a:effectLst/>
              <a:latin typeface="+mn-lt"/>
              <a:ea typeface="+mn-ea"/>
              <a:cs typeface="+mn-cs"/>
            </a:rPr>
            <a:t>How Much Budget Is</a:t>
          </a:r>
          <a:r>
            <a:rPr lang="en-GB" sz="4000" b="1" baseline="0">
              <a:solidFill>
                <a:schemeClr val="dk1"/>
              </a:solidFill>
              <a:effectLst/>
              <a:latin typeface="+mn-lt"/>
              <a:ea typeface="+mn-ea"/>
              <a:cs typeface="+mn-cs"/>
            </a:rPr>
            <a:t> Allocated ?</a:t>
          </a:r>
          <a:endParaRPr lang="en-GB" sz="4000" b="1"/>
        </a:p>
        <a:p>
          <a:endParaRPr lang="en-GB" sz="4000" b="1"/>
        </a:p>
        <a:p>
          <a:r>
            <a:rPr lang="en-GB" sz="4000" b="1"/>
            <a:t>Q6</a:t>
          </a:r>
          <a:r>
            <a:rPr lang="en-GB" sz="4000" b="1" baseline="0"/>
            <a:t>. </a:t>
          </a:r>
          <a:r>
            <a:rPr lang="en-GB" sz="4000" b="1">
              <a:solidFill>
                <a:schemeClr val="dk1"/>
              </a:solidFill>
              <a:effectLst/>
              <a:latin typeface="+mn-lt"/>
              <a:ea typeface="+mn-ea"/>
              <a:cs typeface="+mn-cs"/>
            </a:rPr>
            <a:t>What</a:t>
          </a:r>
          <a:r>
            <a:rPr lang="en-GB" sz="4000" b="1" baseline="0">
              <a:solidFill>
                <a:schemeClr val="dk1"/>
              </a:solidFill>
              <a:effectLst/>
              <a:latin typeface="+mn-lt"/>
              <a:ea typeface="+mn-ea"/>
              <a:cs typeface="+mn-cs"/>
            </a:rPr>
            <a:t> Is The Overall Satisfaction Of Services?</a:t>
          </a:r>
          <a:endParaRPr lang="en-GB" sz="40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23</xdr:col>
      <xdr:colOff>279400</xdr:colOff>
      <xdr:row>25</xdr:row>
      <xdr:rowOff>31750</xdr:rowOff>
    </xdr:from>
    <xdr:to>
      <xdr:col>39</xdr:col>
      <xdr:colOff>79374</xdr:colOff>
      <xdr:row>39</xdr:row>
      <xdr:rowOff>0</xdr:rowOff>
    </xdr:to>
    <xdr:graphicFrame macro="">
      <xdr:nvGraphicFramePr>
        <xdr:cNvPr id="10" name="Chart 9">
          <a:extLst>
            <a:ext uri="{FF2B5EF4-FFF2-40B4-BE49-F238E27FC236}">
              <a16:creationId xmlns:a16="http://schemas.microsoft.com/office/drawing/2014/main" id="{CAA606BE-966F-4C25-9A73-525DABC982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187325</xdr:colOff>
      <xdr:row>33</xdr:row>
      <xdr:rowOff>155574</xdr:rowOff>
    </xdr:from>
    <xdr:to>
      <xdr:col>13</xdr:col>
      <xdr:colOff>19050</xdr:colOff>
      <xdr:row>54</xdr:row>
      <xdr:rowOff>168274</xdr:rowOff>
    </xdr:to>
    <xdr:graphicFrame macro="">
      <xdr:nvGraphicFramePr>
        <xdr:cNvPr id="12" name="Chart 11">
          <a:extLst>
            <a:ext uri="{FF2B5EF4-FFF2-40B4-BE49-F238E27FC236}">
              <a16:creationId xmlns:a16="http://schemas.microsoft.com/office/drawing/2014/main" id="{256EAA14-2461-4AFA-9FFD-C14668C23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104777</xdr:colOff>
      <xdr:row>33</xdr:row>
      <xdr:rowOff>161924</xdr:rowOff>
    </xdr:from>
    <xdr:to>
      <xdr:col>22</xdr:col>
      <xdr:colOff>561976</xdr:colOff>
      <xdr:row>54</xdr:row>
      <xdr:rowOff>184150</xdr:rowOff>
    </xdr:to>
    <xdr:graphicFrame macro="">
      <xdr:nvGraphicFramePr>
        <xdr:cNvPr id="14" name="Chart 13">
          <a:extLst>
            <a:ext uri="{FF2B5EF4-FFF2-40B4-BE49-F238E27FC236}">
              <a16:creationId xmlns:a16="http://schemas.microsoft.com/office/drawing/2014/main" id="{C4E66348-32F7-63D6-BD47-80EB639CF7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161925</xdr:colOff>
      <xdr:row>9</xdr:row>
      <xdr:rowOff>85725</xdr:rowOff>
    </xdr:from>
    <xdr:to>
      <xdr:col>39</xdr:col>
      <xdr:colOff>85724</xdr:colOff>
      <xdr:row>24</xdr:row>
      <xdr:rowOff>161925</xdr:rowOff>
    </xdr:to>
    <xdr:graphicFrame macro="">
      <xdr:nvGraphicFramePr>
        <xdr:cNvPr id="15" name="Chart 14">
          <a:extLst>
            <a:ext uri="{FF2B5EF4-FFF2-40B4-BE49-F238E27FC236}">
              <a16:creationId xmlns:a16="http://schemas.microsoft.com/office/drawing/2014/main" id="{863F3B82-50FD-D9BD-5E29-5C2F92F252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323850</xdr:colOff>
      <xdr:row>1</xdr:row>
      <xdr:rowOff>19050</xdr:rowOff>
    </xdr:from>
    <xdr:to>
      <xdr:col>25</xdr:col>
      <xdr:colOff>454025</xdr:colOff>
      <xdr:row>7</xdr:row>
      <xdr:rowOff>130175</xdr:rowOff>
    </xdr:to>
    <mc:AlternateContent xmlns:mc="http://schemas.openxmlformats.org/markup-compatibility/2006" xmlns:a14="http://schemas.microsoft.com/office/drawing/2010/main">
      <mc:Choice Requires="a14">
        <xdr:graphicFrame macro="">
          <xdr:nvGraphicFramePr>
            <xdr:cNvPr id="22" name="Department">
              <a:extLst>
                <a:ext uri="{FF2B5EF4-FFF2-40B4-BE49-F238E27FC236}">
                  <a16:creationId xmlns:a16="http://schemas.microsoft.com/office/drawing/2014/main" id="{B576CDE0-23D3-CD52-EF7F-B8FA1CB239C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3125450" y="209550"/>
              <a:ext cx="2568575" cy="125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549275</xdr:colOff>
      <xdr:row>0</xdr:row>
      <xdr:rowOff>127000</xdr:rowOff>
    </xdr:from>
    <xdr:to>
      <xdr:col>39</xdr:col>
      <xdr:colOff>111125</xdr:colOff>
      <xdr:row>7</xdr:row>
      <xdr:rowOff>133350</xdr:rowOff>
    </xdr:to>
    <mc:AlternateContent xmlns:mc="http://schemas.openxmlformats.org/markup-compatibility/2006" xmlns:a14="http://schemas.microsoft.com/office/drawing/2010/main">
      <mc:Choice Requires="a14">
        <xdr:graphicFrame macro="">
          <xdr:nvGraphicFramePr>
            <xdr:cNvPr id="23" name="Region">
              <a:extLst>
                <a:ext uri="{FF2B5EF4-FFF2-40B4-BE49-F238E27FC236}">
                  <a16:creationId xmlns:a16="http://schemas.microsoft.com/office/drawing/2014/main" id="{7B327945-96F9-0464-3556-E5090DB38B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789275" y="130175"/>
              <a:ext cx="8096250" cy="13366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92074</xdr:colOff>
      <xdr:row>9</xdr:row>
      <xdr:rowOff>73026</xdr:rowOff>
    </xdr:from>
    <xdr:to>
      <xdr:col>22</xdr:col>
      <xdr:colOff>76200</xdr:colOff>
      <xdr:row>33</xdr:row>
      <xdr:rowOff>53975</xdr:rowOff>
    </xdr:to>
    <xdr:graphicFrame macro="">
      <xdr:nvGraphicFramePr>
        <xdr:cNvPr id="4" name="Chart 3">
          <a:extLst>
            <a:ext uri="{FF2B5EF4-FFF2-40B4-BE49-F238E27FC236}">
              <a16:creationId xmlns:a16="http://schemas.microsoft.com/office/drawing/2014/main" id="{EA392CEA-C92C-4AC3-900E-C08B039F74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22224</xdr:colOff>
      <xdr:row>39</xdr:row>
      <xdr:rowOff>34924</xdr:rowOff>
    </xdr:from>
    <xdr:to>
      <xdr:col>31</xdr:col>
      <xdr:colOff>92074</xdr:colOff>
      <xdr:row>54</xdr:row>
      <xdr:rowOff>152400</xdr:rowOff>
    </xdr:to>
    <xdr:graphicFrame macro="">
      <xdr:nvGraphicFramePr>
        <xdr:cNvPr id="2" name="Chart 1">
          <a:extLst>
            <a:ext uri="{FF2B5EF4-FFF2-40B4-BE49-F238E27FC236}">
              <a16:creationId xmlns:a16="http://schemas.microsoft.com/office/drawing/2014/main" id="{B8710A86-B771-4412-BCC6-11EC232A62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31</xdr:col>
      <xdr:colOff>152400</xdr:colOff>
      <xdr:row>39</xdr:row>
      <xdr:rowOff>73024</xdr:rowOff>
    </xdr:from>
    <xdr:to>
      <xdr:col>39</xdr:col>
      <xdr:colOff>34925</xdr:colOff>
      <xdr:row>54</xdr:row>
      <xdr:rowOff>158750</xdr:rowOff>
    </xdr:to>
    <xdr:graphicFrame macro="">
      <xdr:nvGraphicFramePr>
        <xdr:cNvPr id="3" name="Chart 2">
          <a:extLst>
            <a:ext uri="{FF2B5EF4-FFF2-40B4-BE49-F238E27FC236}">
              <a16:creationId xmlns:a16="http://schemas.microsoft.com/office/drawing/2014/main" id="{F419F383-2707-4270-944A-C41B32D082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0.84409</cdr:x>
      <cdr:y>0.05952</cdr:y>
    </cdr:from>
    <cdr:to>
      <cdr:x>0.89742</cdr:x>
      <cdr:y>0.13203</cdr:y>
    </cdr:to>
    <cdr:sp macro="" textlink="'Cleaned Data &amp; Pivot Table'!$X$29">
      <cdr:nvSpPr>
        <cdr:cNvPr id="18" name="TextBox 1">
          <a:extLst xmlns:a="http://schemas.openxmlformats.org/drawingml/2006/main">
            <a:ext uri="{FF2B5EF4-FFF2-40B4-BE49-F238E27FC236}">
              <a16:creationId xmlns:a16="http://schemas.microsoft.com/office/drawing/2014/main" id="{8E48C6A2-9369-1985-E4F1-8E99B7B35FC7}"/>
            </a:ext>
          </a:extLst>
        </cdr:cNvPr>
        <cdr:cNvSpPr txBox="1"/>
      </cdr:nvSpPr>
      <cdr:spPr>
        <a:xfrm xmlns:a="http://schemas.openxmlformats.org/drawingml/2006/main">
          <a:off x="8683134" y="174624"/>
          <a:ext cx="548602" cy="212725"/>
        </a:xfrm>
        <a:prstGeom xmlns:a="http://schemas.openxmlformats.org/drawingml/2006/main" prst="rect">
          <a:avLst/>
        </a:prstGeom>
        <a:solidFill xmlns:a="http://schemas.openxmlformats.org/drawingml/2006/main">
          <a:schemeClr val="tx1"/>
        </a:solidFill>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2FA05E3F-48FE-4722-9B09-B2EC8CC86D5C}" type="TxLink">
            <a:rPr lang="en-US" sz="1100" b="1" i="0" u="none" strike="noStrike" kern="1200">
              <a:solidFill>
                <a:schemeClr val="bg1"/>
              </a:solidFill>
              <a:latin typeface="Calibri"/>
              <a:ea typeface="Calibri"/>
              <a:cs typeface="Calibri"/>
            </a:rPr>
            <a:pPr/>
            <a:t>1756</a:t>
          </a:fld>
          <a:endParaRPr lang="en-GB" sz="1100" b="1" kern="1200">
            <a:solidFill>
              <a:schemeClr val="bg1"/>
            </a:solidFill>
          </a:endParaRPr>
        </a:p>
      </cdr:txBody>
    </cdr:sp>
  </cdr:relSizeAnchor>
  <cdr:relSizeAnchor xmlns:cdr="http://schemas.openxmlformats.org/drawingml/2006/chartDrawing">
    <cdr:from>
      <cdr:x>0.76752</cdr:x>
      <cdr:y>0.06843</cdr:y>
    </cdr:from>
    <cdr:to>
      <cdr:x>0.82085</cdr:x>
      <cdr:y>0.14201</cdr:y>
    </cdr:to>
    <cdr:sp macro="" textlink="'Cleaned Data &amp; Pivot Table'!$X$28">
      <cdr:nvSpPr>
        <cdr:cNvPr id="33" name="TextBox 1">
          <a:extLst xmlns:a="http://schemas.openxmlformats.org/drawingml/2006/main">
            <a:ext uri="{FF2B5EF4-FFF2-40B4-BE49-F238E27FC236}">
              <a16:creationId xmlns:a16="http://schemas.microsoft.com/office/drawing/2014/main" id="{43487C5A-E259-CF55-0DDC-EA431FE945EE}"/>
            </a:ext>
          </a:extLst>
        </cdr:cNvPr>
        <cdr:cNvSpPr txBox="1"/>
      </cdr:nvSpPr>
      <cdr:spPr>
        <a:xfrm xmlns:a="http://schemas.openxmlformats.org/drawingml/2006/main">
          <a:off x="7895481" y="200752"/>
          <a:ext cx="548602" cy="215858"/>
        </a:xfrm>
        <a:prstGeom xmlns:a="http://schemas.openxmlformats.org/drawingml/2006/main" prst="rect">
          <a:avLst/>
        </a:prstGeom>
        <a:solidFill xmlns:a="http://schemas.openxmlformats.org/drawingml/2006/main">
          <a:schemeClr val="tx1"/>
        </a:solidFill>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1267BB97-2754-4812-B75B-4D3B09F7DF95}" type="TxLink">
            <a:rPr lang="en-US" sz="1100" b="1" i="0" u="none" strike="noStrike" kern="1200">
              <a:solidFill>
                <a:schemeClr val="bg1"/>
              </a:solidFill>
              <a:latin typeface="Calibri"/>
              <a:ea typeface="Calibri"/>
              <a:cs typeface="Calibri"/>
            </a:rPr>
            <a:pPr/>
            <a:t>1796</a:t>
          </a:fld>
          <a:endParaRPr lang="en-GB" sz="1100" b="1" kern="1200">
            <a:solidFill>
              <a:schemeClr val="bg1"/>
            </a:solidFill>
          </a:endParaRPr>
        </a:p>
      </cdr:txBody>
    </cdr:sp>
  </cdr:relSizeAnchor>
  <cdr:relSizeAnchor xmlns:cdr="http://schemas.openxmlformats.org/drawingml/2006/chartDrawing">
    <cdr:from>
      <cdr:x>0.6891</cdr:x>
      <cdr:y>0.0641</cdr:y>
    </cdr:from>
    <cdr:to>
      <cdr:x>0.74243</cdr:x>
      <cdr:y>0.14502</cdr:y>
    </cdr:to>
    <cdr:sp macro="" textlink="'Cleaned Data &amp; Pivot Table'!$X$27">
      <cdr:nvSpPr>
        <cdr:cNvPr id="34" name="TextBox 1">
          <a:extLst xmlns:a="http://schemas.openxmlformats.org/drawingml/2006/main">
            <a:ext uri="{FF2B5EF4-FFF2-40B4-BE49-F238E27FC236}">
              <a16:creationId xmlns:a16="http://schemas.microsoft.com/office/drawing/2014/main" id="{7DE67D49-C0BE-CF89-3462-3A71E9C1C670}"/>
            </a:ext>
          </a:extLst>
        </cdr:cNvPr>
        <cdr:cNvSpPr txBox="1"/>
      </cdr:nvSpPr>
      <cdr:spPr>
        <a:xfrm xmlns:a="http://schemas.openxmlformats.org/drawingml/2006/main">
          <a:off x="7088808" y="188052"/>
          <a:ext cx="548603" cy="237398"/>
        </a:xfrm>
        <a:prstGeom xmlns:a="http://schemas.openxmlformats.org/drawingml/2006/main" prst="rect">
          <a:avLst/>
        </a:prstGeom>
        <a:solidFill xmlns:a="http://schemas.openxmlformats.org/drawingml/2006/main">
          <a:schemeClr val="tx1"/>
        </a:solidFill>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5A2C0D51-FCCC-4529-B82C-29FFAFF25027}" type="TxLink">
            <a:rPr lang="en-US" sz="1100" b="1" i="0" u="none" strike="noStrike" kern="1200">
              <a:solidFill>
                <a:schemeClr val="bg1"/>
              </a:solidFill>
              <a:latin typeface="Calibri"/>
              <a:ea typeface="Calibri"/>
              <a:cs typeface="Calibri"/>
            </a:rPr>
            <a:pPr/>
            <a:t>1382</a:t>
          </a:fld>
          <a:endParaRPr lang="en-GB" sz="1100" b="1" kern="1200">
            <a:solidFill>
              <a:schemeClr val="bg1"/>
            </a:solidFill>
          </a:endParaRPr>
        </a:p>
      </cdr:txBody>
    </cdr:sp>
  </cdr:relSizeAnchor>
  <cdr:relSizeAnchor xmlns:cdr="http://schemas.openxmlformats.org/drawingml/2006/chartDrawing">
    <cdr:from>
      <cdr:x>0.61315</cdr:x>
      <cdr:y>0.07168</cdr:y>
    </cdr:from>
    <cdr:to>
      <cdr:x>0.66648</cdr:x>
      <cdr:y>0.14202</cdr:y>
    </cdr:to>
    <cdr:sp macro="" textlink="'Cleaned Data &amp; Pivot Table'!$X$26">
      <cdr:nvSpPr>
        <cdr:cNvPr id="35" name="TextBox 1">
          <a:extLst xmlns:a="http://schemas.openxmlformats.org/drawingml/2006/main">
            <a:ext uri="{FF2B5EF4-FFF2-40B4-BE49-F238E27FC236}">
              <a16:creationId xmlns:a16="http://schemas.microsoft.com/office/drawing/2014/main" id="{28BB3247-B269-9BF8-47AA-32B599909BB0}"/>
            </a:ext>
          </a:extLst>
        </cdr:cNvPr>
        <cdr:cNvSpPr txBox="1"/>
      </cdr:nvSpPr>
      <cdr:spPr>
        <a:xfrm xmlns:a="http://schemas.openxmlformats.org/drawingml/2006/main">
          <a:off x="6307479" y="210277"/>
          <a:ext cx="548602" cy="206375"/>
        </a:xfrm>
        <a:prstGeom xmlns:a="http://schemas.openxmlformats.org/drawingml/2006/main" prst="rect">
          <a:avLst/>
        </a:prstGeom>
        <a:solidFill xmlns:a="http://schemas.openxmlformats.org/drawingml/2006/main">
          <a:schemeClr val="tx1"/>
        </a:solidFill>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966E37B7-2A23-4BC2-B2C2-DFE580D74880}" type="TxLink">
            <a:rPr lang="en-US" sz="1100" b="1" i="0" u="none" strike="noStrike" kern="1200">
              <a:solidFill>
                <a:schemeClr val="bg1"/>
              </a:solidFill>
              <a:latin typeface="Calibri"/>
              <a:ea typeface="Calibri"/>
              <a:cs typeface="Calibri"/>
            </a:rPr>
            <a:pPr/>
            <a:t>1480</a:t>
          </a:fld>
          <a:endParaRPr lang="en-GB" sz="1100" b="1" kern="1200">
            <a:solidFill>
              <a:schemeClr val="bg1"/>
            </a:solidFill>
          </a:endParaRPr>
        </a:p>
      </cdr:txBody>
    </cdr:sp>
  </cdr:relSizeAnchor>
  <cdr:relSizeAnchor xmlns:cdr="http://schemas.openxmlformats.org/drawingml/2006/chartDrawing">
    <cdr:from>
      <cdr:x>0.53304</cdr:x>
      <cdr:y>0.08333</cdr:y>
    </cdr:from>
    <cdr:to>
      <cdr:x>0.58639</cdr:x>
      <cdr:y>0.13769</cdr:y>
    </cdr:to>
    <cdr:sp macro="" textlink="'Cleaned Data &amp; Pivot Table'!$X$25">
      <cdr:nvSpPr>
        <cdr:cNvPr id="38" name="TextBox 1">
          <a:extLst xmlns:a="http://schemas.openxmlformats.org/drawingml/2006/main">
            <a:ext uri="{FF2B5EF4-FFF2-40B4-BE49-F238E27FC236}">
              <a16:creationId xmlns:a16="http://schemas.microsoft.com/office/drawing/2014/main" id="{0FE39D11-3F35-67DA-BA66-AF5C3E41FE06}"/>
            </a:ext>
          </a:extLst>
        </cdr:cNvPr>
        <cdr:cNvSpPr txBox="1"/>
      </cdr:nvSpPr>
      <cdr:spPr>
        <a:xfrm xmlns:a="http://schemas.openxmlformats.org/drawingml/2006/main">
          <a:off x="5483431" y="244475"/>
          <a:ext cx="548772" cy="159477"/>
        </a:xfrm>
        <a:prstGeom xmlns:a="http://schemas.openxmlformats.org/drawingml/2006/main" prst="rect">
          <a:avLst/>
        </a:prstGeom>
        <a:solidFill xmlns:a="http://schemas.openxmlformats.org/drawingml/2006/main">
          <a:schemeClr val="tx1"/>
        </a:solidFill>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C9F53630-651D-4C93-A8FE-41D66AEADD88}" type="TxLink">
            <a:rPr lang="en-US" sz="1100" b="1" i="0" u="none" strike="noStrike" kern="1200">
              <a:solidFill>
                <a:schemeClr val="bg1"/>
              </a:solidFill>
              <a:latin typeface="Calibri"/>
              <a:ea typeface="Calibri"/>
              <a:cs typeface="Calibri"/>
            </a:rPr>
            <a:pPr/>
            <a:t>1925</a:t>
          </a:fld>
          <a:endParaRPr lang="en-GB" sz="1100" b="1" kern="1200">
            <a:solidFill>
              <a:schemeClr val="bg1"/>
            </a:solidFill>
          </a:endParaRPr>
        </a:p>
      </cdr:txBody>
    </cdr:sp>
  </cdr:relSizeAnchor>
  <cdr:relSizeAnchor xmlns:cdr="http://schemas.openxmlformats.org/drawingml/2006/chartDrawing">
    <cdr:from>
      <cdr:x>0.45892</cdr:x>
      <cdr:y>0.08225</cdr:y>
    </cdr:from>
    <cdr:to>
      <cdr:x>0.51225</cdr:x>
      <cdr:y>0.1261</cdr:y>
    </cdr:to>
    <cdr:sp macro="" textlink="'Cleaned Data &amp; Pivot Table'!$X$24">
      <cdr:nvSpPr>
        <cdr:cNvPr id="37" name="TextBox 1">
          <a:extLst xmlns:a="http://schemas.openxmlformats.org/drawingml/2006/main">
            <a:ext uri="{FF2B5EF4-FFF2-40B4-BE49-F238E27FC236}">
              <a16:creationId xmlns:a16="http://schemas.microsoft.com/office/drawing/2014/main" id="{426902F8-9716-F760-63F2-9C6265D7CFC0}"/>
            </a:ext>
          </a:extLst>
        </cdr:cNvPr>
        <cdr:cNvSpPr txBox="1"/>
      </cdr:nvSpPr>
      <cdr:spPr>
        <a:xfrm xmlns:a="http://schemas.openxmlformats.org/drawingml/2006/main">
          <a:off x="4720929" y="241300"/>
          <a:ext cx="548602" cy="128652"/>
        </a:xfrm>
        <a:prstGeom xmlns:a="http://schemas.openxmlformats.org/drawingml/2006/main" prst="rect">
          <a:avLst/>
        </a:prstGeom>
        <a:solidFill xmlns:a="http://schemas.openxmlformats.org/drawingml/2006/main">
          <a:schemeClr val="tx1"/>
        </a:solidFill>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36624AEA-0AFB-4AE4-A462-E4FB84796C20}" type="TxLink">
            <a:rPr lang="en-US" sz="1100" b="1" i="0" u="none" strike="noStrike" kern="1200">
              <a:solidFill>
                <a:schemeClr val="bg1"/>
              </a:solidFill>
              <a:latin typeface="Calibri"/>
              <a:ea typeface="Calibri"/>
              <a:cs typeface="Calibri"/>
            </a:rPr>
            <a:pPr/>
            <a:t>857</a:t>
          </a:fld>
          <a:endParaRPr lang="en-GB" sz="1100" b="1" kern="1200">
            <a:solidFill>
              <a:schemeClr val="bg1"/>
            </a:solidFill>
          </a:endParaRPr>
        </a:p>
      </cdr:txBody>
    </cdr:sp>
  </cdr:relSizeAnchor>
  <cdr:relSizeAnchor xmlns:cdr="http://schemas.openxmlformats.org/drawingml/2006/chartDrawing">
    <cdr:from>
      <cdr:x>0.05557</cdr:x>
      <cdr:y>0.05111</cdr:y>
    </cdr:from>
    <cdr:to>
      <cdr:x>0.11512</cdr:x>
      <cdr:y>0.12038</cdr:y>
    </cdr:to>
    <cdr:sp macro="" textlink="'Cleaned Data &amp; Pivot Table'!$X$19">
      <cdr:nvSpPr>
        <cdr:cNvPr id="39" name="TextBox 38">
          <a:extLst xmlns:a="http://schemas.openxmlformats.org/drawingml/2006/main">
            <a:ext uri="{FF2B5EF4-FFF2-40B4-BE49-F238E27FC236}">
              <a16:creationId xmlns:a16="http://schemas.microsoft.com/office/drawing/2014/main" id="{C14950C4-CBFE-1AD5-16ED-6F57AB70EE88}"/>
            </a:ext>
          </a:extLst>
        </cdr:cNvPr>
        <cdr:cNvSpPr txBox="1"/>
      </cdr:nvSpPr>
      <cdr:spPr>
        <a:xfrm xmlns:a="http://schemas.openxmlformats.org/drawingml/2006/main">
          <a:off x="571692" y="149951"/>
          <a:ext cx="612583" cy="203201"/>
        </a:xfrm>
        <a:prstGeom xmlns:a="http://schemas.openxmlformats.org/drawingml/2006/main" prst="rect">
          <a:avLst/>
        </a:prstGeom>
        <a:solidFill xmlns:a="http://schemas.openxmlformats.org/drawingml/2006/main">
          <a:schemeClr val="tx1"/>
        </a:solidFill>
      </cdr:spPr>
      <cdr:txBody>
        <a:bodyPr xmlns:a="http://schemas.openxmlformats.org/drawingml/2006/main" vertOverflow="clip" wrap="square" rtlCol="0"/>
        <a:lstStyle xmlns:a="http://schemas.openxmlformats.org/drawingml/2006/main"/>
        <a:p xmlns:a="http://schemas.openxmlformats.org/drawingml/2006/main">
          <a:pPr algn="ctr"/>
          <a:fld id="{B07F5523-F9FD-4632-9540-422B90DC9498}" type="TxLink">
            <a:rPr lang="en-US" sz="1100" b="1" i="0" u="none" strike="noStrike" kern="1200">
              <a:solidFill>
                <a:schemeClr val="bg1"/>
              </a:solidFill>
              <a:latin typeface="Calibri"/>
              <a:ea typeface="Calibri"/>
              <a:cs typeface="Calibri"/>
            </a:rPr>
            <a:pPr algn="ctr"/>
            <a:t>1031</a:t>
          </a:fld>
          <a:endParaRPr lang="en-GB" sz="1100" b="1" kern="1200">
            <a:solidFill>
              <a:schemeClr val="bg1"/>
            </a:solidFill>
          </a:endParaRPr>
        </a:p>
      </cdr:txBody>
    </cdr:sp>
  </cdr:relSizeAnchor>
  <cdr:relSizeAnchor xmlns:cdr="http://schemas.openxmlformats.org/drawingml/2006/chartDrawing">
    <cdr:from>
      <cdr:x>0.13399</cdr:x>
      <cdr:y>0.05924</cdr:y>
    </cdr:from>
    <cdr:to>
      <cdr:x>0.19105</cdr:x>
      <cdr:y>0.13986</cdr:y>
    </cdr:to>
    <cdr:sp macro="" textlink="'Cleaned Data &amp; Pivot Table'!$X$20">
      <cdr:nvSpPr>
        <cdr:cNvPr id="40" name="TextBox 1">
          <a:extLst xmlns:a="http://schemas.openxmlformats.org/drawingml/2006/main">
            <a:ext uri="{FF2B5EF4-FFF2-40B4-BE49-F238E27FC236}">
              <a16:creationId xmlns:a16="http://schemas.microsoft.com/office/drawing/2014/main" id="{E02B068B-97C3-DDD9-2BBA-1FAF2807E7F7}"/>
            </a:ext>
          </a:extLst>
        </cdr:cNvPr>
        <cdr:cNvSpPr txBox="1"/>
      </cdr:nvSpPr>
      <cdr:spPr>
        <a:xfrm xmlns:a="http://schemas.openxmlformats.org/drawingml/2006/main">
          <a:off x="1378393" y="173797"/>
          <a:ext cx="586932" cy="236505"/>
        </a:xfrm>
        <a:prstGeom xmlns:a="http://schemas.openxmlformats.org/drawingml/2006/main" prst="rect">
          <a:avLst/>
        </a:prstGeom>
        <a:solidFill xmlns:a="http://schemas.openxmlformats.org/drawingml/2006/main">
          <a:schemeClr val="tx1"/>
        </a:solidFill>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873E271F-335D-40B3-A2F2-26B9CF4B1D25}" type="TxLink">
            <a:rPr lang="en-US" sz="1100" b="1" i="0" u="none" strike="noStrike" kern="1200">
              <a:solidFill>
                <a:schemeClr val="bg1"/>
              </a:solidFill>
              <a:latin typeface="Calibri"/>
              <a:ea typeface="Calibri"/>
              <a:cs typeface="Calibri"/>
            </a:rPr>
            <a:pPr algn="ctr"/>
            <a:t>2067</a:t>
          </a:fld>
          <a:endParaRPr lang="en-GB" sz="1100" b="1" kern="1200">
            <a:solidFill>
              <a:schemeClr val="bg1"/>
            </a:solidFill>
          </a:endParaRPr>
        </a:p>
      </cdr:txBody>
    </cdr:sp>
  </cdr:relSizeAnchor>
  <cdr:relSizeAnchor xmlns:cdr="http://schemas.openxmlformats.org/drawingml/2006/chartDrawing">
    <cdr:from>
      <cdr:x>0.21426</cdr:x>
      <cdr:y>0.06518</cdr:y>
    </cdr:from>
    <cdr:to>
      <cdr:x>0.26759</cdr:x>
      <cdr:y>0.13527</cdr:y>
    </cdr:to>
    <cdr:sp macro="" textlink="'Cleaned Data &amp; Pivot Table'!$X$21">
      <cdr:nvSpPr>
        <cdr:cNvPr id="41" name="TextBox 1">
          <a:extLst xmlns:a="http://schemas.openxmlformats.org/drawingml/2006/main">
            <a:ext uri="{FF2B5EF4-FFF2-40B4-BE49-F238E27FC236}">
              <a16:creationId xmlns:a16="http://schemas.microsoft.com/office/drawing/2014/main" id="{EEF32335-121F-0CB4-18E9-F4A8DD17D3EF}"/>
            </a:ext>
          </a:extLst>
        </cdr:cNvPr>
        <cdr:cNvSpPr txBox="1"/>
      </cdr:nvSpPr>
      <cdr:spPr>
        <a:xfrm xmlns:a="http://schemas.openxmlformats.org/drawingml/2006/main">
          <a:off x="2204121" y="191227"/>
          <a:ext cx="548603" cy="205607"/>
        </a:xfrm>
        <a:prstGeom xmlns:a="http://schemas.openxmlformats.org/drawingml/2006/main" prst="rect">
          <a:avLst/>
        </a:prstGeom>
        <a:solidFill xmlns:a="http://schemas.openxmlformats.org/drawingml/2006/main">
          <a:schemeClr val="tx1"/>
        </a:solidFill>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D7EE3099-F3D5-40AD-9994-7CD5CA372063}" type="TxLink">
            <a:rPr lang="en-US" sz="1100" b="1" i="0" u="none" strike="noStrike" kern="1200">
              <a:solidFill>
                <a:schemeClr val="bg1"/>
              </a:solidFill>
              <a:latin typeface="Calibri"/>
              <a:ea typeface="Calibri"/>
              <a:cs typeface="Calibri"/>
            </a:rPr>
            <a:pPr/>
            <a:t>1060</a:t>
          </a:fld>
          <a:endParaRPr lang="en-GB" sz="1100" b="1" kern="1200">
            <a:solidFill>
              <a:schemeClr val="bg1"/>
            </a:solidFill>
          </a:endParaRPr>
        </a:p>
      </cdr:txBody>
    </cdr:sp>
  </cdr:relSizeAnchor>
  <cdr:relSizeAnchor xmlns:cdr="http://schemas.openxmlformats.org/drawingml/2006/chartDrawing">
    <cdr:from>
      <cdr:x>0.92251</cdr:x>
      <cdr:y>0.05328</cdr:y>
    </cdr:from>
    <cdr:to>
      <cdr:x>0.97584</cdr:x>
      <cdr:y>0.12036</cdr:y>
    </cdr:to>
    <cdr:sp macro="" textlink="'Cleaned Data &amp; Pivot Table'!$X$30">
      <cdr:nvSpPr>
        <cdr:cNvPr id="42" name="TextBox 1">
          <a:extLst xmlns:a="http://schemas.openxmlformats.org/drawingml/2006/main">
            <a:ext uri="{FF2B5EF4-FFF2-40B4-BE49-F238E27FC236}">
              <a16:creationId xmlns:a16="http://schemas.microsoft.com/office/drawing/2014/main" id="{5990748E-CDCA-61F6-B3A8-AA7C4AC69095}"/>
            </a:ext>
          </a:extLst>
        </cdr:cNvPr>
        <cdr:cNvSpPr txBox="1"/>
      </cdr:nvSpPr>
      <cdr:spPr>
        <a:xfrm xmlns:a="http://schemas.openxmlformats.org/drawingml/2006/main">
          <a:off x="9489827" y="156302"/>
          <a:ext cx="548602" cy="196808"/>
        </a:xfrm>
        <a:prstGeom xmlns:a="http://schemas.openxmlformats.org/drawingml/2006/main" prst="rect">
          <a:avLst/>
        </a:prstGeom>
        <a:solidFill xmlns:a="http://schemas.openxmlformats.org/drawingml/2006/main">
          <a:schemeClr val="tx1"/>
        </a:solidFill>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7F750DBA-5569-483A-A74D-C000AE4D5257}" type="TxLink">
            <a:rPr lang="en-US" sz="1100" b="1" i="0" u="none" strike="noStrike" kern="1200">
              <a:solidFill>
                <a:schemeClr val="bg1"/>
              </a:solidFill>
              <a:latin typeface="Calibri"/>
              <a:ea typeface="Calibri"/>
              <a:cs typeface="Calibri"/>
            </a:rPr>
            <a:pPr/>
            <a:t>1234</a:t>
          </a:fld>
          <a:endParaRPr lang="en-GB" sz="1100" b="1" kern="1200">
            <a:solidFill>
              <a:schemeClr val="bg1"/>
            </a:solidFill>
          </a:endParaRPr>
        </a:p>
      </cdr:txBody>
    </cdr:sp>
  </cdr:relSizeAnchor>
  <cdr:relSizeAnchor xmlns:cdr="http://schemas.openxmlformats.org/drawingml/2006/chartDrawing">
    <cdr:from>
      <cdr:x>0.29639</cdr:x>
      <cdr:y>0.06518</cdr:y>
    </cdr:from>
    <cdr:to>
      <cdr:x>0.34972</cdr:x>
      <cdr:y>0.13266</cdr:y>
    </cdr:to>
    <cdr:sp macro="" textlink="'Cleaned Data &amp; Pivot Table'!$X$22">
      <cdr:nvSpPr>
        <cdr:cNvPr id="43" name="TextBox 1">
          <a:extLst xmlns:a="http://schemas.openxmlformats.org/drawingml/2006/main">
            <a:ext uri="{FF2B5EF4-FFF2-40B4-BE49-F238E27FC236}">
              <a16:creationId xmlns:a16="http://schemas.microsoft.com/office/drawing/2014/main" id="{C2BE12D2-BD02-7E6C-2B02-4842B8A6D889}"/>
            </a:ext>
          </a:extLst>
        </cdr:cNvPr>
        <cdr:cNvSpPr txBox="1"/>
      </cdr:nvSpPr>
      <cdr:spPr>
        <a:xfrm xmlns:a="http://schemas.openxmlformats.org/drawingml/2006/main">
          <a:off x="3048933" y="191227"/>
          <a:ext cx="548602" cy="197970"/>
        </a:xfrm>
        <a:prstGeom xmlns:a="http://schemas.openxmlformats.org/drawingml/2006/main" prst="rect">
          <a:avLst/>
        </a:prstGeom>
        <a:solidFill xmlns:a="http://schemas.openxmlformats.org/drawingml/2006/main">
          <a:schemeClr val="tx1"/>
        </a:solidFill>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81AAE15E-95EF-4689-9C81-DD489DB25F9A}" type="TxLink">
            <a:rPr lang="en-US" sz="1100" b="1" i="0" u="none" strike="noStrike" kern="1200">
              <a:solidFill>
                <a:schemeClr val="bg1"/>
              </a:solidFill>
              <a:latin typeface="Calibri"/>
              <a:ea typeface="Calibri"/>
              <a:cs typeface="Calibri"/>
            </a:rPr>
            <a:pPr/>
            <a:t>1592</a:t>
          </a:fld>
          <a:endParaRPr lang="en-GB" sz="1100" b="1" kern="1200">
            <a:solidFill>
              <a:schemeClr val="bg1"/>
            </a:solidFill>
          </a:endParaRPr>
        </a:p>
      </cdr:txBody>
    </cdr:sp>
  </cdr:relSizeAnchor>
  <cdr:relSizeAnchor xmlns:cdr="http://schemas.openxmlformats.org/drawingml/2006/chartDrawing">
    <cdr:from>
      <cdr:x>0.37419</cdr:x>
      <cdr:y>0.07168</cdr:y>
    </cdr:from>
    <cdr:to>
      <cdr:x>0.42752</cdr:x>
      <cdr:y>0.13043</cdr:y>
    </cdr:to>
    <cdr:sp macro="" textlink="'Cleaned Data &amp; Pivot Table'!$X$23">
      <cdr:nvSpPr>
        <cdr:cNvPr id="44" name="TextBox 1">
          <a:extLst xmlns:a="http://schemas.openxmlformats.org/drawingml/2006/main">
            <a:ext uri="{FF2B5EF4-FFF2-40B4-BE49-F238E27FC236}">
              <a16:creationId xmlns:a16="http://schemas.microsoft.com/office/drawing/2014/main" id="{5898DF92-0C61-ABE4-F35A-1F274EB3DFB8}"/>
            </a:ext>
          </a:extLst>
        </cdr:cNvPr>
        <cdr:cNvSpPr txBox="1"/>
      </cdr:nvSpPr>
      <cdr:spPr>
        <a:xfrm xmlns:a="http://schemas.openxmlformats.org/drawingml/2006/main">
          <a:off x="3849294" y="210277"/>
          <a:ext cx="548602" cy="172376"/>
        </a:xfrm>
        <a:prstGeom xmlns:a="http://schemas.openxmlformats.org/drawingml/2006/main" prst="rect">
          <a:avLst/>
        </a:prstGeom>
        <a:solidFill xmlns:a="http://schemas.openxmlformats.org/drawingml/2006/main">
          <a:schemeClr val="tx1"/>
        </a:solidFill>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E3D89C25-4043-4D89-A28A-92886745B301}" type="TxLink">
            <a:rPr lang="en-US" sz="1100" b="1" i="0" u="none" strike="noStrike" kern="1200">
              <a:solidFill>
                <a:schemeClr val="bg1"/>
              </a:solidFill>
              <a:latin typeface="Calibri"/>
              <a:ea typeface="Calibri"/>
              <a:cs typeface="Calibri"/>
            </a:rPr>
            <a:pPr/>
            <a:t>2049</a:t>
          </a:fld>
          <a:endParaRPr lang="en-GB" sz="1100" b="1" kern="1200">
            <a:solidFill>
              <a:schemeClr val="bg1"/>
            </a:solidFill>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98424</xdr:colOff>
      <xdr:row>1</xdr:row>
      <xdr:rowOff>3174</xdr:rowOff>
    </xdr:from>
    <xdr:to>
      <xdr:col>18</xdr:col>
      <xdr:colOff>295274</xdr:colOff>
      <xdr:row>16</xdr:row>
      <xdr:rowOff>88900</xdr:rowOff>
    </xdr:to>
    <xdr:sp macro="" textlink="">
      <xdr:nvSpPr>
        <xdr:cNvPr id="3" name="TextBox 2">
          <a:extLst>
            <a:ext uri="{FF2B5EF4-FFF2-40B4-BE49-F238E27FC236}">
              <a16:creationId xmlns:a16="http://schemas.microsoft.com/office/drawing/2014/main" id="{1C772104-C5FB-4163-93BB-26EA8547D0F6}"/>
            </a:ext>
          </a:extLst>
        </xdr:cNvPr>
        <xdr:cNvSpPr txBox="1"/>
      </xdr:nvSpPr>
      <xdr:spPr>
        <a:xfrm>
          <a:off x="98424" y="193674"/>
          <a:ext cx="11169650" cy="29432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i="1" u="sng">
              <a:solidFill>
                <a:schemeClr val="dk1"/>
              </a:solidFill>
              <a:latin typeface="+mn-lt"/>
              <a:ea typeface="+mn-ea"/>
              <a:cs typeface="+mn-cs"/>
            </a:rPr>
            <a:t>Q1. What Was The Most And Least Effective Areas On Cases Reported</a:t>
          </a:r>
          <a:r>
            <a:rPr lang="en-GB" sz="2400" b="1" i="1" u="sng">
              <a:solidFill>
                <a:schemeClr val="dk1"/>
              </a:solidFill>
              <a:latin typeface="+mn-lt"/>
              <a:ea typeface="+mn-ea"/>
              <a:cs typeface="+mn-cs"/>
            </a:rPr>
            <a:t>?</a:t>
          </a:r>
          <a:endParaRPr lang="en-GB" sz="1400" b="1" i="1" u="sng">
            <a:solidFill>
              <a:schemeClr val="dk1"/>
            </a:solidFill>
            <a:latin typeface="+mn-lt"/>
            <a:ea typeface="+mn-ea"/>
            <a:cs typeface="+mn-cs"/>
          </a:endParaRPr>
        </a:p>
        <a:p>
          <a:r>
            <a:rPr lang="en-GB" sz="1600" i="1" u="sng">
              <a:solidFill>
                <a:schemeClr val="dk1"/>
              </a:solidFill>
              <a:latin typeface="+mn-lt"/>
              <a:ea typeface="+mn-ea"/>
              <a:cs typeface="+mn-cs"/>
            </a:rPr>
            <a:t>Fire Service:</a:t>
          </a:r>
          <a:br>
            <a:rPr lang="en-GB" sz="1600" i="1">
              <a:solidFill>
                <a:schemeClr val="dk1"/>
              </a:solidFill>
              <a:latin typeface="+mn-lt"/>
              <a:ea typeface="+mn-ea"/>
              <a:cs typeface="+mn-cs"/>
            </a:rPr>
          </a:br>
          <a:r>
            <a:rPr lang="en-GB" sz="1600" b="1" i="1">
              <a:solidFill>
                <a:schemeClr val="dk1"/>
              </a:solidFill>
              <a:latin typeface="+mn-lt"/>
              <a:ea typeface="+mn-ea"/>
              <a:cs typeface="+mn-cs"/>
            </a:rPr>
            <a:t>Scotland </a:t>
          </a:r>
          <a:r>
            <a:rPr lang="en-GB" sz="1600" b="0" i="1">
              <a:solidFill>
                <a:schemeClr val="dk1"/>
              </a:solidFill>
              <a:latin typeface="+mn-lt"/>
              <a:ea typeface="+mn-ea"/>
              <a:cs typeface="+mn-cs"/>
            </a:rPr>
            <a:t>is the most effective with </a:t>
          </a:r>
          <a:r>
            <a:rPr lang="en-GB" sz="1600" b="1" i="1">
              <a:solidFill>
                <a:schemeClr val="dk1"/>
              </a:solidFill>
              <a:latin typeface="+mn-lt"/>
              <a:ea typeface="+mn-ea"/>
              <a:cs typeface="+mn-cs"/>
            </a:rPr>
            <a:t>89%</a:t>
          </a:r>
          <a:r>
            <a:rPr lang="en-GB" sz="1600" b="0" i="1">
              <a:solidFill>
                <a:schemeClr val="dk1"/>
              </a:solidFill>
              <a:latin typeface="+mn-lt"/>
              <a:ea typeface="+mn-ea"/>
              <a:cs typeface="+mn-cs"/>
            </a:rPr>
            <a:t> resolved rate.</a:t>
          </a:r>
        </a:p>
        <a:p>
          <a:r>
            <a:rPr lang="en-GB" sz="1600" i="1">
              <a:solidFill>
                <a:schemeClr val="dk1"/>
              </a:solidFill>
              <a:latin typeface="+mn-lt"/>
              <a:ea typeface="+mn-ea"/>
              <a:cs typeface="+mn-cs"/>
            </a:rPr>
            <a:t> </a:t>
          </a:r>
          <a:r>
            <a:rPr lang="en-GB" sz="1600" b="1" i="1">
              <a:solidFill>
                <a:schemeClr val="dk1"/>
              </a:solidFill>
              <a:latin typeface="+mn-lt"/>
              <a:ea typeface="+mn-ea"/>
              <a:cs typeface="+mn-cs"/>
            </a:rPr>
            <a:t>South West </a:t>
          </a:r>
          <a:r>
            <a:rPr lang="en-GB" sz="1600" b="0" i="1">
              <a:solidFill>
                <a:schemeClr val="dk1"/>
              </a:solidFill>
              <a:latin typeface="+mn-lt"/>
              <a:ea typeface="+mn-ea"/>
              <a:cs typeface="+mn-cs"/>
            </a:rPr>
            <a:t>is the least effective with </a:t>
          </a:r>
          <a:r>
            <a:rPr lang="en-GB" sz="1600" b="1" i="1">
              <a:solidFill>
                <a:schemeClr val="dk1"/>
              </a:solidFill>
              <a:latin typeface="+mn-lt"/>
              <a:ea typeface="+mn-ea"/>
              <a:cs typeface="+mn-cs"/>
            </a:rPr>
            <a:t>44%</a:t>
          </a:r>
          <a:r>
            <a:rPr lang="en-GB" sz="1600" b="0" i="1">
              <a:solidFill>
                <a:schemeClr val="dk1"/>
              </a:solidFill>
              <a:latin typeface="+mn-lt"/>
              <a:ea typeface="+mn-ea"/>
              <a:cs typeface="+mn-cs"/>
            </a:rPr>
            <a:t> resolved rate.</a:t>
          </a:r>
        </a:p>
        <a:p>
          <a:r>
            <a:rPr lang="en-GB" sz="1600" i="1" u="sng">
              <a:solidFill>
                <a:schemeClr val="dk1"/>
              </a:solidFill>
              <a:latin typeface="+mn-lt"/>
              <a:ea typeface="+mn-ea"/>
              <a:cs typeface="+mn-cs"/>
            </a:rPr>
            <a:t>Police:</a:t>
          </a:r>
          <a:br>
            <a:rPr lang="en-GB" sz="1600" i="1">
              <a:solidFill>
                <a:schemeClr val="dk1"/>
              </a:solidFill>
              <a:latin typeface="+mn-lt"/>
              <a:ea typeface="+mn-ea"/>
              <a:cs typeface="+mn-cs"/>
            </a:rPr>
          </a:br>
          <a:r>
            <a:rPr lang="en-GB" sz="1600" b="1" i="1">
              <a:solidFill>
                <a:schemeClr val="dk1"/>
              </a:solidFill>
              <a:latin typeface="+mn-lt"/>
              <a:ea typeface="+mn-ea"/>
              <a:cs typeface="+mn-cs"/>
            </a:rPr>
            <a:t>Yorkshire and the Humber </a:t>
          </a:r>
          <a:r>
            <a:rPr lang="en-GB" sz="1600" b="0" i="1">
              <a:solidFill>
                <a:schemeClr val="dk1"/>
              </a:solidFill>
              <a:latin typeface="+mn-lt"/>
              <a:ea typeface="+mn-ea"/>
              <a:cs typeface="+mn-cs"/>
            </a:rPr>
            <a:t>are the most effective with</a:t>
          </a:r>
          <a:r>
            <a:rPr lang="en-GB" sz="1600" b="1" i="1">
              <a:solidFill>
                <a:schemeClr val="dk1"/>
              </a:solidFill>
              <a:latin typeface="+mn-lt"/>
              <a:ea typeface="+mn-ea"/>
              <a:cs typeface="+mn-cs"/>
            </a:rPr>
            <a:t> 100%</a:t>
          </a:r>
          <a:r>
            <a:rPr lang="en-GB" sz="1600" b="0" i="1">
              <a:solidFill>
                <a:schemeClr val="dk1"/>
              </a:solidFill>
              <a:latin typeface="+mn-lt"/>
              <a:ea typeface="+mn-ea"/>
              <a:cs typeface="+mn-cs"/>
            </a:rPr>
            <a:t> resolved rate.</a:t>
          </a:r>
          <a:br>
            <a:rPr lang="en-GB" sz="1600" b="0" i="1">
              <a:solidFill>
                <a:schemeClr val="dk1"/>
              </a:solidFill>
              <a:latin typeface="+mn-lt"/>
              <a:ea typeface="+mn-ea"/>
              <a:cs typeface="+mn-cs"/>
            </a:rPr>
          </a:br>
          <a:r>
            <a:rPr lang="en-GB" sz="1600" b="1" i="1">
              <a:solidFill>
                <a:schemeClr val="dk1"/>
              </a:solidFill>
              <a:latin typeface="+mn-lt"/>
              <a:ea typeface="+mn-ea"/>
              <a:cs typeface="+mn-cs"/>
            </a:rPr>
            <a:t>Northern Ireland</a:t>
          </a:r>
          <a:r>
            <a:rPr lang="en-GB" sz="1600" b="0" i="1">
              <a:solidFill>
                <a:schemeClr val="dk1"/>
              </a:solidFill>
              <a:latin typeface="+mn-lt"/>
              <a:ea typeface="+mn-ea"/>
              <a:cs typeface="+mn-cs"/>
            </a:rPr>
            <a:t> are the least effective with </a:t>
          </a:r>
          <a:r>
            <a:rPr lang="en-GB" sz="1600" b="1" i="1">
              <a:solidFill>
                <a:schemeClr val="dk1"/>
              </a:solidFill>
              <a:latin typeface="+mn-lt"/>
              <a:ea typeface="+mn-ea"/>
              <a:cs typeface="+mn-cs"/>
            </a:rPr>
            <a:t>32%</a:t>
          </a:r>
          <a:r>
            <a:rPr lang="en-GB" sz="1600" b="0" i="1">
              <a:solidFill>
                <a:schemeClr val="dk1"/>
              </a:solidFill>
              <a:latin typeface="+mn-lt"/>
              <a:ea typeface="+mn-ea"/>
              <a:cs typeface="+mn-cs"/>
            </a:rPr>
            <a:t> resolved rate.</a:t>
          </a:r>
        </a:p>
        <a:p>
          <a:endParaRPr lang="en-GB" sz="1600" i="1">
            <a:solidFill>
              <a:schemeClr val="dk1"/>
            </a:solidFill>
            <a:latin typeface="+mn-lt"/>
            <a:ea typeface="+mn-ea"/>
            <a:cs typeface="+mn-cs"/>
          </a:endParaRPr>
        </a:p>
        <a:p>
          <a:r>
            <a:rPr lang="en-GB" sz="1600" i="1">
              <a:solidFill>
                <a:schemeClr val="dk1"/>
              </a:solidFill>
              <a:latin typeface="+mn-lt"/>
              <a:ea typeface="+mn-ea"/>
              <a:cs typeface="+mn-cs"/>
            </a:rPr>
            <a:t> </a:t>
          </a:r>
          <a:r>
            <a:rPr lang="en-GB" sz="1600" b="1" i="1">
              <a:solidFill>
                <a:schemeClr val="dk1"/>
              </a:solidFill>
              <a:latin typeface="+mn-lt"/>
              <a:ea typeface="+mn-ea"/>
              <a:cs typeface="+mn-cs"/>
            </a:rPr>
            <a:t>Recommend </a:t>
          </a:r>
          <a:r>
            <a:rPr lang="en-GB" sz="1600" b="0" i="1">
              <a:solidFill>
                <a:schemeClr val="dk1"/>
              </a:solidFill>
              <a:latin typeface="+mn-lt"/>
              <a:ea typeface="+mn-ea"/>
              <a:cs typeface="+mn-cs"/>
            </a:rPr>
            <a:t>focusing recruitment efforts the </a:t>
          </a:r>
          <a:r>
            <a:rPr lang="en-GB" sz="1600" b="1" i="1">
              <a:solidFill>
                <a:schemeClr val="dk1"/>
              </a:solidFill>
              <a:latin typeface="+mn-lt"/>
              <a:ea typeface="+mn-ea"/>
              <a:cs typeface="+mn-cs"/>
            </a:rPr>
            <a:t>South West </a:t>
          </a:r>
          <a:r>
            <a:rPr lang="en-GB" sz="1600" b="0" i="1">
              <a:solidFill>
                <a:schemeClr val="dk1"/>
              </a:solidFill>
              <a:latin typeface="+mn-lt"/>
              <a:ea typeface="+mn-ea"/>
              <a:cs typeface="+mn-cs"/>
            </a:rPr>
            <a:t>and</a:t>
          </a:r>
          <a:r>
            <a:rPr lang="en-GB" sz="1600" b="1" i="1">
              <a:solidFill>
                <a:schemeClr val="dk1"/>
              </a:solidFill>
              <a:latin typeface="+mn-lt"/>
              <a:ea typeface="+mn-ea"/>
              <a:cs typeface="+mn-cs"/>
            </a:rPr>
            <a:t> Northern Ireland</a:t>
          </a:r>
          <a:r>
            <a:rPr lang="en-GB" sz="1600" b="0" i="1">
              <a:solidFill>
                <a:schemeClr val="dk1"/>
              </a:solidFill>
              <a:latin typeface="+mn-lt"/>
              <a:ea typeface="+mn-ea"/>
              <a:cs typeface="+mn-cs"/>
            </a:rPr>
            <a:t> to offer additional support. Along with opening dialogue with </a:t>
          </a:r>
          <a:r>
            <a:rPr lang="en-GB" sz="1600" b="1" i="1">
              <a:solidFill>
                <a:schemeClr val="dk1"/>
              </a:solidFill>
              <a:latin typeface="+mn-lt"/>
              <a:ea typeface="+mn-ea"/>
              <a:cs typeface="+mn-cs"/>
            </a:rPr>
            <a:t>Scotland</a:t>
          </a:r>
          <a:r>
            <a:rPr lang="en-GB" sz="1600" b="0" i="1">
              <a:solidFill>
                <a:schemeClr val="dk1"/>
              </a:solidFill>
              <a:latin typeface="+mn-lt"/>
              <a:ea typeface="+mn-ea"/>
              <a:cs typeface="+mn-cs"/>
            </a:rPr>
            <a:t> and </a:t>
          </a:r>
          <a:r>
            <a:rPr lang="en-GB" sz="1600" b="1" i="1">
              <a:solidFill>
                <a:schemeClr val="dk1"/>
              </a:solidFill>
              <a:latin typeface="+mn-lt"/>
              <a:ea typeface="+mn-ea"/>
              <a:cs typeface="+mn-cs"/>
            </a:rPr>
            <a:t>Yorkshire and the Humber</a:t>
          </a:r>
          <a:r>
            <a:rPr lang="en-GB" sz="1600" b="0" i="1">
              <a:solidFill>
                <a:schemeClr val="dk1"/>
              </a:solidFill>
              <a:latin typeface="+mn-lt"/>
              <a:ea typeface="+mn-ea"/>
              <a:cs typeface="+mn-cs"/>
            </a:rPr>
            <a:t> on procedures and their implantation to combat low resolution to cases.</a:t>
          </a:r>
          <a:endParaRPr lang="en-GB" sz="1600" b="0" i="0">
            <a:solidFill>
              <a:schemeClr val="dk1"/>
            </a:solidFill>
            <a:latin typeface="+mn-lt"/>
            <a:ea typeface="+mn-ea"/>
            <a:cs typeface="+mn-cs"/>
          </a:endParaRPr>
        </a:p>
        <a:p>
          <a:endParaRPr lang="en-GB" sz="1100">
            <a:solidFill>
              <a:schemeClr val="dk1"/>
            </a:solidFill>
            <a:latin typeface="+mn-lt"/>
            <a:ea typeface="+mn-ea"/>
            <a:cs typeface="+mn-cs"/>
          </a:endParaRPr>
        </a:p>
      </xdr:txBody>
    </xdr:sp>
    <xdr:clientData/>
  </xdr:twoCellAnchor>
  <xdr:twoCellAnchor>
    <xdr:from>
      <xdr:col>18</xdr:col>
      <xdr:colOff>568325</xdr:colOff>
      <xdr:row>0</xdr:row>
      <xdr:rowOff>168274</xdr:rowOff>
    </xdr:from>
    <xdr:to>
      <xdr:col>39</xdr:col>
      <xdr:colOff>92075</xdr:colOff>
      <xdr:row>16</xdr:row>
      <xdr:rowOff>101600</xdr:rowOff>
    </xdr:to>
    <xdr:sp macro="" textlink="">
      <xdr:nvSpPr>
        <xdr:cNvPr id="4" name="TextBox 3">
          <a:extLst>
            <a:ext uri="{FF2B5EF4-FFF2-40B4-BE49-F238E27FC236}">
              <a16:creationId xmlns:a16="http://schemas.microsoft.com/office/drawing/2014/main" id="{0AE95A83-C1AC-4171-A891-ED3B2B4023EF}"/>
            </a:ext>
          </a:extLst>
        </xdr:cNvPr>
        <xdr:cNvSpPr txBox="1"/>
      </xdr:nvSpPr>
      <xdr:spPr>
        <a:xfrm>
          <a:off x="11541125" y="168274"/>
          <a:ext cx="12325350" cy="29813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i="1" u="sng">
              <a:solidFill>
                <a:schemeClr val="dk1"/>
              </a:solidFill>
              <a:latin typeface="+mn-lt"/>
              <a:ea typeface="+mn-ea"/>
              <a:cs typeface="+mn-cs"/>
            </a:rPr>
            <a:t>Q2. What Is The Total Number Of Employees?</a:t>
          </a:r>
        </a:p>
        <a:p>
          <a:r>
            <a:rPr lang="en-GB" sz="1400" i="1" u="sng">
              <a:solidFill>
                <a:schemeClr val="dk1"/>
              </a:solidFill>
              <a:latin typeface="+mn-lt"/>
              <a:ea typeface="+mn-ea"/>
              <a:cs typeface="+mn-cs"/>
            </a:rPr>
            <a:t>Fire Service:</a:t>
          </a:r>
          <a:br>
            <a:rPr lang="en-GB" sz="1400" i="1">
              <a:solidFill>
                <a:schemeClr val="dk1"/>
              </a:solidFill>
              <a:latin typeface="+mn-lt"/>
              <a:ea typeface="+mn-ea"/>
              <a:cs typeface="+mn-cs"/>
            </a:rPr>
          </a:br>
          <a:r>
            <a:rPr lang="en-GB" sz="1400" b="1" i="1">
              <a:solidFill>
                <a:schemeClr val="dk1"/>
              </a:solidFill>
              <a:latin typeface="+mn-lt"/>
              <a:ea typeface="+mn-ea"/>
              <a:cs typeface="+mn-cs"/>
            </a:rPr>
            <a:t>North East </a:t>
          </a:r>
          <a:r>
            <a:rPr lang="en-GB" sz="1400" b="0" i="1">
              <a:solidFill>
                <a:schemeClr val="dk1"/>
              </a:solidFill>
              <a:latin typeface="+mn-lt"/>
              <a:ea typeface="+mn-ea"/>
              <a:cs typeface="+mn-cs"/>
            </a:rPr>
            <a:t>has the </a:t>
          </a:r>
          <a:r>
            <a:rPr lang="en-GB" sz="1400" b="1" i="1">
              <a:solidFill>
                <a:schemeClr val="dk1"/>
              </a:solidFill>
              <a:latin typeface="+mn-lt"/>
              <a:ea typeface="+mn-ea"/>
              <a:cs typeface="+mn-cs"/>
            </a:rPr>
            <a:t>highest</a:t>
          </a:r>
          <a:r>
            <a:rPr lang="en-GB" sz="1400" b="0" i="1">
              <a:solidFill>
                <a:schemeClr val="dk1"/>
              </a:solidFill>
              <a:latin typeface="+mn-lt"/>
              <a:ea typeface="+mn-ea"/>
              <a:cs typeface="+mn-cs"/>
            </a:rPr>
            <a:t> number of Fire Fighters with </a:t>
          </a:r>
          <a:r>
            <a:rPr lang="en-GB" sz="1400" b="1" i="1">
              <a:solidFill>
                <a:schemeClr val="dk1"/>
              </a:solidFill>
              <a:latin typeface="+mn-lt"/>
              <a:ea typeface="+mn-ea"/>
              <a:cs typeface="+mn-cs"/>
            </a:rPr>
            <a:t>1246</a:t>
          </a:r>
          <a:r>
            <a:rPr lang="en-GB" sz="1400" b="0" i="1">
              <a:solidFill>
                <a:schemeClr val="dk1"/>
              </a:solidFill>
              <a:latin typeface="+mn-lt"/>
              <a:ea typeface="+mn-ea"/>
              <a:cs typeface="+mn-cs"/>
            </a:rPr>
            <a:t> personnel.</a:t>
          </a:r>
        </a:p>
        <a:p>
          <a:r>
            <a:rPr lang="en-GB" sz="1400" b="1" i="1">
              <a:solidFill>
                <a:schemeClr val="dk1"/>
              </a:solidFill>
              <a:latin typeface="+mn-lt"/>
              <a:ea typeface="+mn-ea"/>
              <a:cs typeface="+mn-cs"/>
            </a:rPr>
            <a:t>East</a:t>
          </a:r>
          <a:r>
            <a:rPr lang="en-GB" sz="1400" b="1" i="1" baseline="0">
              <a:solidFill>
                <a:schemeClr val="dk1"/>
              </a:solidFill>
              <a:latin typeface="+mn-lt"/>
              <a:ea typeface="+mn-ea"/>
              <a:cs typeface="+mn-cs"/>
            </a:rPr>
            <a:t> Midlands</a:t>
          </a:r>
          <a:r>
            <a:rPr lang="en-GB" sz="1400" b="0" i="1" baseline="0">
              <a:solidFill>
                <a:schemeClr val="dk1"/>
              </a:solidFill>
              <a:latin typeface="+mn-lt"/>
              <a:ea typeface="+mn-ea"/>
              <a:cs typeface="+mn-cs"/>
            </a:rPr>
            <a:t> has the </a:t>
          </a:r>
          <a:r>
            <a:rPr lang="en-GB" sz="1400" b="1" i="1" baseline="0">
              <a:solidFill>
                <a:schemeClr val="dk1"/>
              </a:solidFill>
              <a:latin typeface="+mn-lt"/>
              <a:ea typeface="+mn-ea"/>
              <a:cs typeface="+mn-cs"/>
            </a:rPr>
            <a:t>lowest </a:t>
          </a:r>
          <a:r>
            <a:rPr lang="en-GB" sz="1400" b="0" i="1" baseline="0">
              <a:solidFill>
                <a:schemeClr val="dk1"/>
              </a:solidFill>
              <a:latin typeface="+mn-lt"/>
              <a:ea typeface="+mn-ea"/>
              <a:cs typeface="+mn-cs"/>
            </a:rPr>
            <a:t>number of personnel with </a:t>
          </a:r>
          <a:r>
            <a:rPr lang="en-GB" sz="1400" b="1" i="1" baseline="0">
              <a:solidFill>
                <a:schemeClr val="dk1"/>
              </a:solidFill>
              <a:latin typeface="+mn-lt"/>
              <a:ea typeface="+mn-ea"/>
              <a:cs typeface="+mn-cs"/>
            </a:rPr>
            <a:t>248.</a:t>
          </a:r>
          <a:endParaRPr lang="en-GB" sz="1400" b="1" i="1">
            <a:solidFill>
              <a:schemeClr val="dk1"/>
            </a:solidFill>
            <a:latin typeface="+mn-lt"/>
            <a:ea typeface="+mn-ea"/>
            <a:cs typeface="+mn-cs"/>
          </a:endParaRPr>
        </a:p>
        <a:p>
          <a:r>
            <a:rPr lang="en-GB" sz="1400" i="1" u="sng">
              <a:solidFill>
                <a:schemeClr val="dk1"/>
              </a:solidFill>
              <a:latin typeface="+mn-lt"/>
              <a:ea typeface="+mn-ea"/>
              <a:cs typeface="+mn-cs"/>
            </a:rPr>
            <a:t>Police:</a:t>
          </a:r>
          <a:br>
            <a:rPr lang="en-GB" sz="1400" i="1">
              <a:solidFill>
                <a:schemeClr val="dk1"/>
              </a:solidFill>
              <a:latin typeface="+mn-lt"/>
              <a:ea typeface="+mn-ea"/>
              <a:cs typeface="+mn-cs"/>
            </a:rPr>
          </a:br>
          <a:r>
            <a:rPr lang="en-GB" sz="1400" b="1" i="1">
              <a:solidFill>
                <a:schemeClr val="dk1"/>
              </a:solidFill>
              <a:latin typeface="+mn-lt"/>
              <a:ea typeface="+mn-ea"/>
              <a:cs typeface="+mn-cs"/>
            </a:rPr>
            <a:t>East of England </a:t>
          </a:r>
          <a:r>
            <a:rPr lang="en-GB" sz="1400" b="0" i="1">
              <a:solidFill>
                <a:schemeClr val="dk1"/>
              </a:solidFill>
              <a:latin typeface="+mn-lt"/>
              <a:ea typeface="+mn-ea"/>
              <a:cs typeface="+mn-cs"/>
            </a:rPr>
            <a:t>has the</a:t>
          </a:r>
          <a:r>
            <a:rPr lang="en-GB" sz="1400" b="0" i="1" baseline="0">
              <a:solidFill>
                <a:schemeClr val="dk1"/>
              </a:solidFill>
              <a:latin typeface="+mn-lt"/>
              <a:ea typeface="+mn-ea"/>
              <a:cs typeface="+mn-cs"/>
            </a:rPr>
            <a:t> </a:t>
          </a:r>
          <a:r>
            <a:rPr lang="en-GB" sz="1400" b="1" i="1" baseline="0">
              <a:solidFill>
                <a:schemeClr val="dk1"/>
              </a:solidFill>
              <a:latin typeface="+mn-lt"/>
              <a:ea typeface="+mn-ea"/>
              <a:cs typeface="+mn-cs"/>
            </a:rPr>
            <a:t>highest </a:t>
          </a:r>
          <a:r>
            <a:rPr lang="en-GB" sz="1400" b="0" i="1">
              <a:solidFill>
                <a:schemeClr val="dk1"/>
              </a:solidFill>
              <a:latin typeface="+mn-lt"/>
              <a:ea typeface="+mn-ea"/>
              <a:cs typeface="+mn-cs"/>
            </a:rPr>
            <a:t>staff count of </a:t>
          </a:r>
          <a:r>
            <a:rPr lang="en-GB" sz="1400" b="1" i="1">
              <a:solidFill>
                <a:schemeClr val="dk1"/>
              </a:solidFill>
              <a:latin typeface="+mn-lt"/>
              <a:ea typeface="+mn-ea"/>
              <a:cs typeface="+mn-cs"/>
            </a:rPr>
            <a:t>1163</a:t>
          </a:r>
          <a:r>
            <a:rPr lang="en-GB" sz="1400" b="0" i="1">
              <a:solidFill>
                <a:schemeClr val="dk1"/>
              </a:solidFill>
              <a:latin typeface="+mn-lt"/>
              <a:ea typeface="+mn-ea"/>
              <a:cs typeface="+mn-cs"/>
            </a:rPr>
            <a:t>.</a:t>
          </a:r>
        </a:p>
        <a:p>
          <a:r>
            <a:rPr lang="en-GB" sz="1400" b="1">
              <a:solidFill>
                <a:schemeClr val="dk1"/>
              </a:solidFill>
              <a:effectLst/>
              <a:latin typeface="+mn-lt"/>
              <a:ea typeface="+mn-ea"/>
              <a:cs typeface="+mn-cs"/>
            </a:rPr>
            <a:t>Yorkshire and the Humber </a:t>
          </a:r>
          <a:r>
            <a:rPr lang="en-GB" sz="1400" b="0" i="1">
              <a:solidFill>
                <a:schemeClr val="dk1"/>
              </a:solidFill>
              <a:effectLst/>
              <a:latin typeface="+mn-lt"/>
              <a:ea typeface="+mn-ea"/>
              <a:cs typeface="+mn-cs"/>
            </a:rPr>
            <a:t>has</a:t>
          </a:r>
          <a:r>
            <a:rPr lang="en-GB" sz="1400" b="0" i="1" baseline="0">
              <a:solidFill>
                <a:schemeClr val="dk1"/>
              </a:solidFill>
              <a:effectLst/>
              <a:latin typeface="+mn-lt"/>
              <a:ea typeface="+mn-ea"/>
              <a:cs typeface="+mn-cs"/>
            </a:rPr>
            <a:t> the </a:t>
          </a:r>
          <a:r>
            <a:rPr lang="en-GB" sz="1400" b="1" i="1" baseline="0">
              <a:solidFill>
                <a:schemeClr val="dk1"/>
              </a:solidFill>
              <a:effectLst/>
              <a:latin typeface="+mn-lt"/>
              <a:ea typeface="+mn-ea"/>
              <a:cs typeface="+mn-cs"/>
            </a:rPr>
            <a:t>lowest </a:t>
          </a:r>
          <a:r>
            <a:rPr lang="en-GB" sz="1400" b="0" i="1" baseline="0">
              <a:solidFill>
                <a:schemeClr val="dk1"/>
              </a:solidFill>
              <a:effectLst/>
              <a:latin typeface="+mn-lt"/>
              <a:ea typeface="+mn-ea"/>
              <a:cs typeface="+mn-cs"/>
            </a:rPr>
            <a:t>personnel count of </a:t>
          </a:r>
          <a:r>
            <a:rPr lang="en-GB" sz="1400" b="1" i="1" baseline="0">
              <a:solidFill>
                <a:schemeClr val="dk1"/>
              </a:solidFill>
              <a:effectLst/>
              <a:latin typeface="+mn-lt"/>
              <a:ea typeface="+mn-ea"/>
              <a:cs typeface="+mn-cs"/>
            </a:rPr>
            <a:t>152.</a:t>
          </a:r>
          <a:endParaRPr lang="en-GB" sz="1600" b="0" i="1">
            <a:solidFill>
              <a:schemeClr val="dk1"/>
            </a:solidFill>
            <a:latin typeface="+mn-lt"/>
            <a:ea typeface="+mn-ea"/>
            <a:cs typeface="+mn-cs"/>
          </a:endParaRPr>
        </a:p>
        <a:p>
          <a:endParaRPr lang="en-GB" sz="1400">
            <a:solidFill>
              <a:schemeClr val="dk1"/>
            </a:solidFill>
            <a:latin typeface="+mn-lt"/>
            <a:ea typeface="+mn-ea"/>
            <a:cs typeface="+mn-cs"/>
          </a:endParaRPr>
        </a:p>
        <a:p>
          <a:r>
            <a:rPr lang="en-GB" sz="1400" i="1">
              <a:solidFill>
                <a:schemeClr val="dk1"/>
              </a:solidFill>
              <a:latin typeface="+mn-lt"/>
              <a:ea typeface="+mn-ea"/>
              <a:cs typeface="+mn-cs"/>
            </a:rPr>
            <a:t>The </a:t>
          </a:r>
          <a:r>
            <a:rPr lang="en-GB" sz="1400" b="1" i="1">
              <a:solidFill>
                <a:schemeClr val="dk1"/>
              </a:solidFill>
              <a:latin typeface="+mn-lt"/>
              <a:ea typeface="+mn-ea"/>
              <a:cs typeface="+mn-cs"/>
            </a:rPr>
            <a:t>East of England </a:t>
          </a:r>
          <a:r>
            <a:rPr lang="en-GB" sz="1400" b="0" i="1">
              <a:solidFill>
                <a:schemeClr val="dk1"/>
              </a:solidFill>
              <a:latin typeface="+mn-lt"/>
              <a:ea typeface="+mn-ea"/>
              <a:cs typeface="+mn-cs"/>
            </a:rPr>
            <a:t>has the most amount of TOTAL staff members with a total </a:t>
          </a:r>
          <a:r>
            <a:rPr lang="en-GB" sz="1400" b="1" i="1">
              <a:solidFill>
                <a:schemeClr val="dk1"/>
              </a:solidFill>
              <a:latin typeface="+mn-lt"/>
              <a:ea typeface="+mn-ea"/>
              <a:cs typeface="+mn-cs"/>
            </a:rPr>
            <a:t>2067</a:t>
          </a:r>
          <a:r>
            <a:rPr lang="en-GB" sz="1400" b="0" i="1">
              <a:solidFill>
                <a:schemeClr val="dk1"/>
              </a:solidFill>
              <a:latin typeface="+mn-lt"/>
              <a:ea typeface="+mn-ea"/>
              <a:cs typeface="+mn-cs"/>
            </a:rPr>
            <a:t> followed closely by </a:t>
          </a:r>
          <a:r>
            <a:rPr lang="en-GB" sz="1400" b="1" i="1">
              <a:solidFill>
                <a:schemeClr val="dk1"/>
              </a:solidFill>
              <a:latin typeface="+mn-lt"/>
              <a:ea typeface="+mn-ea"/>
              <a:cs typeface="+mn-cs"/>
            </a:rPr>
            <a:t>North West</a:t>
          </a:r>
          <a:r>
            <a:rPr lang="en-GB" sz="1400" b="0" i="1">
              <a:solidFill>
                <a:schemeClr val="dk1"/>
              </a:solidFill>
              <a:latin typeface="+mn-lt"/>
              <a:ea typeface="+mn-ea"/>
              <a:cs typeface="+mn-cs"/>
            </a:rPr>
            <a:t> with </a:t>
          </a:r>
          <a:r>
            <a:rPr lang="en-GB" sz="1400" b="1" i="1">
              <a:solidFill>
                <a:schemeClr val="dk1"/>
              </a:solidFill>
              <a:latin typeface="+mn-lt"/>
              <a:ea typeface="+mn-ea"/>
              <a:cs typeface="+mn-cs"/>
            </a:rPr>
            <a:t>2049.</a:t>
          </a:r>
        </a:p>
        <a:p>
          <a:endParaRPr lang="en-GB" sz="1400">
            <a:solidFill>
              <a:schemeClr val="dk1"/>
            </a:solidFill>
            <a:latin typeface="+mn-lt"/>
            <a:ea typeface="+mn-ea"/>
            <a:cs typeface="+mn-cs"/>
          </a:endParaRPr>
        </a:p>
        <a:p>
          <a:r>
            <a:rPr lang="en-GB" sz="1400" b="1" i="1">
              <a:solidFill>
                <a:schemeClr val="dk1"/>
              </a:solidFill>
              <a:latin typeface="+mn-lt"/>
              <a:ea typeface="+mn-ea"/>
              <a:cs typeface="+mn-cs"/>
            </a:rPr>
            <a:t>Recommend </a:t>
          </a:r>
          <a:r>
            <a:rPr lang="en-GB" sz="1400" b="0" i="1">
              <a:solidFill>
                <a:schemeClr val="dk1"/>
              </a:solidFill>
              <a:latin typeface="+mn-lt"/>
              <a:ea typeface="+mn-ea"/>
              <a:cs typeface="+mn-cs"/>
            </a:rPr>
            <a:t>increasing numbers of </a:t>
          </a:r>
          <a:r>
            <a:rPr lang="en-GB" sz="1400" b="1" i="1">
              <a:solidFill>
                <a:schemeClr val="dk1"/>
              </a:solidFill>
              <a:latin typeface="+mn-lt"/>
              <a:ea typeface="+mn-ea"/>
              <a:cs typeface="+mn-cs"/>
            </a:rPr>
            <a:t>Fire Fighters</a:t>
          </a:r>
          <a:r>
            <a:rPr lang="en-GB" sz="1400" b="1" i="1" baseline="0">
              <a:solidFill>
                <a:schemeClr val="dk1"/>
              </a:solidFill>
              <a:latin typeface="+mn-lt"/>
              <a:ea typeface="+mn-ea"/>
              <a:cs typeface="+mn-cs"/>
            </a:rPr>
            <a:t> </a:t>
          </a:r>
          <a:r>
            <a:rPr lang="en-GB" sz="1400" b="0" i="1">
              <a:solidFill>
                <a:schemeClr val="dk1"/>
              </a:solidFill>
              <a:latin typeface="+mn-lt"/>
              <a:ea typeface="+mn-ea"/>
              <a:cs typeface="+mn-cs"/>
            </a:rPr>
            <a:t>to </a:t>
          </a:r>
          <a:r>
            <a:rPr lang="en-GB" sz="1400" b="1" i="1">
              <a:solidFill>
                <a:schemeClr val="dk1"/>
              </a:solidFill>
              <a:latin typeface="+mn-lt"/>
              <a:ea typeface="+mn-ea"/>
              <a:cs typeface="+mn-cs"/>
            </a:rPr>
            <a:t>East Midlands</a:t>
          </a:r>
          <a:r>
            <a:rPr lang="en-GB" sz="1400" b="1" i="1" baseline="0">
              <a:solidFill>
                <a:schemeClr val="dk1"/>
              </a:solidFill>
              <a:latin typeface="+mn-lt"/>
              <a:ea typeface="+mn-ea"/>
              <a:cs typeface="+mn-cs"/>
            </a:rPr>
            <a:t> </a:t>
          </a:r>
          <a:r>
            <a:rPr lang="en-GB" sz="1400" b="0" i="1">
              <a:solidFill>
                <a:schemeClr val="dk1"/>
              </a:solidFill>
              <a:latin typeface="+mn-lt"/>
              <a:ea typeface="+mn-ea"/>
              <a:cs typeface="+mn-cs"/>
            </a:rPr>
            <a:t>to combat low resolution rates. This can be done through focusing on recuiting</a:t>
          </a:r>
          <a:r>
            <a:rPr lang="en-GB" sz="1400" b="0" i="1" baseline="0">
              <a:solidFill>
                <a:schemeClr val="dk1"/>
              </a:solidFill>
              <a:latin typeface="+mn-lt"/>
              <a:ea typeface="+mn-ea"/>
              <a:cs typeface="+mn-cs"/>
            </a:rPr>
            <a:t> speficilaly for the </a:t>
          </a:r>
          <a:r>
            <a:rPr lang="en-GB" sz="1400" b="1" i="1" baseline="0">
              <a:solidFill>
                <a:schemeClr val="dk1"/>
              </a:solidFill>
              <a:latin typeface="+mn-lt"/>
              <a:ea typeface="+mn-ea"/>
              <a:cs typeface="+mn-cs"/>
            </a:rPr>
            <a:t>Police </a:t>
          </a:r>
          <a:r>
            <a:rPr lang="en-GB" sz="1400" b="0" i="1" baseline="0">
              <a:solidFill>
                <a:schemeClr val="dk1"/>
              </a:solidFill>
              <a:latin typeface="+mn-lt"/>
              <a:ea typeface="+mn-ea"/>
              <a:cs typeface="+mn-cs"/>
            </a:rPr>
            <a:t>or offer training to </a:t>
          </a:r>
          <a:r>
            <a:rPr lang="en-GB" sz="1400" b="1" i="1" baseline="0">
              <a:solidFill>
                <a:schemeClr val="dk1"/>
              </a:solidFill>
              <a:latin typeface="+mn-lt"/>
              <a:ea typeface="+mn-ea"/>
              <a:cs typeface="+mn-cs"/>
            </a:rPr>
            <a:t>Police Officers </a:t>
          </a:r>
          <a:r>
            <a:rPr lang="en-GB" sz="1400" b="0" i="1" baseline="0">
              <a:solidFill>
                <a:schemeClr val="dk1"/>
              </a:solidFill>
              <a:latin typeface="+mn-lt"/>
              <a:ea typeface="+mn-ea"/>
              <a:cs typeface="+mn-cs"/>
            </a:rPr>
            <a:t>train to become </a:t>
          </a:r>
          <a:r>
            <a:rPr lang="en-GB" sz="1400" b="1" i="1" baseline="0">
              <a:solidFill>
                <a:schemeClr val="dk1"/>
              </a:solidFill>
              <a:latin typeface="+mn-lt"/>
              <a:ea typeface="+mn-ea"/>
              <a:cs typeface="+mn-cs"/>
            </a:rPr>
            <a:t>Fire Fighters. </a:t>
          </a:r>
          <a:r>
            <a:rPr lang="en-GB" sz="1400" b="0" i="1" baseline="0">
              <a:solidFill>
                <a:schemeClr val="dk1"/>
              </a:solidFill>
              <a:latin typeface="+mn-lt"/>
              <a:ea typeface="+mn-ea"/>
              <a:cs typeface="+mn-cs"/>
            </a:rPr>
            <a:t>Based on the figures no further requirements are needed for </a:t>
          </a:r>
          <a:r>
            <a:rPr lang="en-GB" sz="1400" b="1" i="1" baseline="0">
              <a:solidFill>
                <a:schemeClr val="dk1"/>
              </a:solidFill>
              <a:latin typeface="+mn-lt"/>
              <a:ea typeface="+mn-ea"/>
              <a:cs typeface="+mn-cs"/>
            </a:rPr>
            <a:t>Police Officers </a:t>
          </a:r>
          <a:r>
            <a:rPr lang="en-GB" sz="1400" b="0" i="1" baseline="0">
              <a:solidFill>
                <a:schemeClr val="dk1"/>
              </a:solidFill>
              <a:latin typeface="+mn-lt"/>
              <a:ea typeface="+mn-ea"/>
              <a:cs typeface="+mn-cs"/>
            </a:rPr>
            <a:t> in </a:t>
          </a:r>
          <a:r>
            <a:rPr lang="en-GB" sz="1400" b="1" i="1" baseline="0">
              <a:solidFill>
                <a:schemeClr val="dk1"/>
              </a:solidFill>
              <a:latin typeface="+mn-lt"/>
              <a:ea typeface="+mn-ea"/>
              <a:cs typeface="+mn-cs"/>
            </a:rPr>
            <a:t>Yorkshire and the Humber, </a:t>
          </a:r>
          <a:r>
            <a:rPr lang="en-GB" sz="1400" b="0" i="1" baseline="0">
              <a:solidFill>
                <a:schemeClr val="dk1"/>
              </a:solidFill>
              <a:latin typeface="+mn-lt"/>
              <a:ea typeface="+mn-ea"/>
              <a:cs typeface="+mn-cs"/>
            </a:rPr>
            <a:t>as the data shows that they are fully in control of calls coming in.</a:t>
          </a:r>
          <a:endParaRPr lang="en-GB" sz="1400" b="0" i="1">
            <a:solidFill>
              <a:schemeClr val="dk1"/>
            </a:solidFill>
            <a:latin typeface="+mn-lt"/>
            <a:ea typeface="+mn-ea"/>
            <a:cs typeface="+mn-cs"/>
          </a:endParaRPr>
        </a:p>
        <a:p>
          <a:endParaRPr lang="en-GB" sz="1100">
            <a:solidFill>
              <a:schemeClr val="dk1"/>
            </a:solidFill>
            <a:latin typeface="+mn-lt"/>
            <a:ea typeface="+mn-ea"/>
            <a:cs typeface="+mn-cs"/>
          </a:endParaRPr>
        </a:p>
      </xdr:txBody>
    </xdr:sp>
    <xdr:clientData/>
  </xdr:twoCellAnchor>
  <xdr:twoCellAnchor>
    <xdr:from>
      <xdr:col>0</xdr:col>
      <xdr:colOff>92074</xdr:colOff>
      <xdr:row>18</xdr:row>
      <xdr:rowOff>171450</xdr:rowOff>
    </xdr:from>
    <xdr:to>
      <xdr:col>18</xdr:col>
      <xdr:colOff>320674</xdr:colOff>
      <xdr:row>33</xdr:row>
      <xdr:rowOff>133350</xdr:rowOff>
    </xdr:to>
    <xdr:sp macro="" textlink="">
      <xdr:nvSpPr>
        <xdr:cNvPr id="5" name="TextBox 4">
          <a:extLst>
            <a:ext uri="{FF2B5EF4-FFF2-40B4-BE49-F238E27FC236}">
              <a16:creationId xmlns:a16="http://schemas.microsoft.com/office/drawing/2014/main" id="{C3652F06-FB3A-4499-A18D-EBB41D405132}"/>
            </a:ext>
          </a:extLst>
        </xdr:cNvPr>
        <xdr:cNvSpPr txBox="1"/>
      </xdr:nvSpPr>
      <xdr:spPr>
        <a:xfrm>
          <a:off x="92074" y="3600450"/>
          <a:ext cx="11201400" cy="281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i="1" u="sng">
              <a:solidFill>
                <a:schemeClr val="dk1"/>
              </a:solidFill>
              <a:latin typeface="+mn-lt"/>
              <a:ea typeface="+mn-ea"/>
              <a:cs typeface="+mn-cs"/>
            </a:rPr>
            <a:t>Q3. What Is The Average Time To Respond?</a:t>
          </a:r>
        </a:p>
        <a:p>
          <a:r>
            <a:rPr lang="en-GB" sz="1600" i="1" u="sng">
              <a:solidFill>
                <a:schemeClr val="dk1"/>
              </a:solidFill>
              <a:latin typeface="+mn-lt"/>
              <a:ea typeface="+mn-ea"/>
              <a:cs typeface="+mn-cs"/>
            </a:rPr>
            <a:t>Fire Service:</a:t>
          </a:r>
          <a:br>
            <a:rPr lang="en-GB" sz="1600" i="1">
              <a:solidFill>
                <a:schemeClr val="dk1"/>
              </a:solidFill>
              <a:latin typeface="+mn-lt"/>
              <a:ea typeface="+mn-ea"/>
              <a:cs typeface="+mn-cs"/>
            </a:rPr>
          </a:br>
          <a:r>
            <a:rPr lang="en-GB" sz="1600" b="1" i="1">
              <a:solidFill>
                <a:schemeClr val="dk1"/>
              </a:solidFill>
              <a:latin typeface="+mn-lt"/>
              <a:ea typeface="+mn-ea"/>
              <a:cs typeface="+mn-cs"/>
            </a:rPr>
            <a:t>North West </a:t>
          </a:r>
          <a:r>
            <a:rPr lang="en-GB" sz="1600" b="0" i="1">
              <a:solidFill>
                <a:schemeClr val="dk1"/>
              </a:solidFill>
              <a:latin typeface="+mn-lt"/>
              <a:ea typeface="+mn-ea"/>
              <a:cs typeface="+mn-cs"/>
            </a:rPr>
            <a:t>has the fastest time with </a:t>
          </a:r>
          <a:r>
            <a:rPr lang="en-GB" sz="1600" b="1" i="1">
              <a:solidFill>
                <a:schemeClr val="dk1"/>
              </a:solidFill>
              <a:latin typeface="+mn-lt"/>
              <a:ea typeface="+mn-ea"/>
              <a:cs typeface="+mn-cs"/>
            </a:rPr>
            <a:t>8.8 mins.</a:t>
          </a:r>
        </a:p>
        <a:p>
          <a:r>
            <a:rPr lang="en-GB" sz="1600" i="1">
              <a:solidFill>
                <a:schemeClr val="dk1"/>
              </a:solidFill>
              <a:latin typeface="+mn-lt"/>
              <a:ea typeface="+mn-ea"/>
              <a:cs typeface="+mn-cs"/>
            </a:rPr>
            <a:t> </a:t>
          </a:r>
          <a:r>
            <a:rPr lang="en-GB" sz="1600" b="1" i="1">
              <a:solidFill>
                <a:schemeClr val="dk1"/>
              </a:solidFill>
              <a:latin typeface="+mn-lt"/>
              <a:ea typeface="+mn-ea"/>
              <a:cs typeface="+mn-cs"/>
            </a:rPr>
            <a:t>East Midlands </a:t>
          </a:r>
          <a:r>
            <a:rPr lang="en-GB" sz="1600" b="0" i="1">
              <a:solidFill>
                <a:schemeClr val="dk1"/>
              </a:solidFill>
              <a:latin typeface="+mn-lt"/>
              <a:ea typeface="+mn-ea"/>
              <a:cs typeface="+mn-cs"/>
            </a:rPr>
            <a:t>has the longest average time with </a:t>
          </a:r>
          <a:r>
            <a:rPr lang="en-GB" sz="1600" b="1" i="1">
              <a:solidFill>
                <a:schemeClr val="dk1"/>
              </a:solidFill>
              <a:latin typeface="+mn-lt"/>
              <a:ea typeface="+mn-ea"/>
              <a:cs typeface="+mn-cs"/>
            </a:rPr>
            <a:t>14.2 mins</a:t>
          </a:r>
        </a:p>
        <a:p>
          <a:r>
            <a:rPr lang="en-GB" sz="1600" i="1" u="sng">
              <a:solidFill>
                <a:schemeClr val="dk1"/>
              </a:solidFill>
              <a:latin typeface="+mn-lt"/>
              <a:ea typeface="+mn-ea"/>
              <a:cs typeface="+mn-cs"/>
            </a:rPr>
            <a:t>Police:</a:t>
          </a:r>
          <a:br>
            <a:rPr lang="en-GB" sz="1600" i="1">
              <a:solidFill>
                <a:schemeClr val="dk1"/>
              </a:solidFill>
              <a:latin typeface="+mn-lt"/>
              <a:ea typeface="+mn-ea"/>
              <a:cs typeface="+mn-cs"/>
            </a:rPr>
          </a:br>
          <a:r>
            <a:rPr lang="en-GB" sz="1600" b="1" i="1">
              <a:solidFill>
                <a:schemeClr val="dk1"/>
              </a:solidFill>
              <a:latin typeface="+mn-lt"/>
              <a:ea typeface="+mn-ea"/>
              <a:cs typeface="+mn-cs"/>
            </a:rPr>
            <a:t>East Midlands </a:t>
          </a:r>
          <a:r>
            <a:rPr lang="en-GB" sz="1600" b="0" i="1">
              <a:solidFill>
                <a:schemeClr val="dk1"/>
              </a:solidFill>
              <a:latin typeface="+mn-lt"/>
              <a:ea typeface="+mn-ea"/>
              <a:cs typeface="+mn-cs"/>
            </a:rPr>
            <a:t>has the fastest average time with </a:t>
          </a:r>
          <a:r>
            <a:rPr lang="en-GB" sz="1600" b="1" i="1">
              <a:solidFill>
                <a:schemeClr val="dk1"/>
              </a:solidFill>
              <a:latin typeface="+mn-lt"/>
              <a:ea typeface="+mn-ea"/>
              <a:cs typeface="+mn-cs"/>
            </a:rPr>
            <a:t>7.8 mins</a:t>
          </a:r>
          <a:br>
            <a:rPr lang="en-GB" sz="1600" b="1" i="1">
              <a:solidFill>
                <a:schemeClr val="dk1"/>
              </a:solidFill>
              <a:latin typeface="+mn-lt"/>
              <a:ea typeface="+mn-ea"/>
              <a:cs typeface="+mn-cs"/>
            </a:rPr>
          </a:br>
          <a:r>
            <a:rPr lang="en-GB" sz="1600" b="1" i="1">
              <a:solidFill>
                <a:schemeClr val="dk1"/>
              </a:solidFill>
              <a:latin typeface="+mn-lt"/>
              <a:ea typeface="+mn-ea"/>
              <a:cs typeface="+mn-cs"/>
            </a:rPr>
            <a:t>London </a:t>
          </a:r>
          <a:r>
            <a:rPr lang="en-GB" sz="1600" b="0" i="1">
              <a:solidFill>
                <a:schemeClr val="dk1"/>
              </a:solidFill>
              <a:latin typeface="+mn-lt"/>
              <a:ea typeface="+mn-ea"/>
              <a:cs typeface="+mn-cs"/>
            </a:rPr>
            <a:t>has the longest average time with </a:t>
          </a:r>
          <a:r>
            <a:rPr lang="en-GB" sz="1600" b="1" i="1">
              <a:solidFill>
                <a:schemeClr val="dk1"/>
              </a:solidFill>
              <a:latin typeface="+mn-lt"/>
              <a:ea typeface="+mn-ea"/>
              <a:cs typeface="+mn-cs"/>
            </a:rPr>
            <a:t>14.5 mins</a:t>
          </a:r>
        </a:p>
        <a:p>
          <a:endParaRPr lang="en-GB" sz="1600" b="0" i="1">
            <a:solidFill>
              <a:schemeClr val="dk1"/>
            </a:solidFill>
            <a:latin typeface="+mn-lt"/>
            <a:ea typeface="+mn-ea"/>
            <a:cs typeface="+mn-cs"/>
          </a:endParaRPr>
        </a:p>
        <a:p>
          <a:r>
            <a:rPr lang="en-GB" sz="1600" b="1" i="1">
              <a:solidFill>
                <a:schemeClr val="dk1"/>
              </a:solidFill>
              <a:latin typeface="+mn-lt"/>
              <a:ea typeface="+mn-ea"/>
              <a:cs typeface="+mn-cs"/>
            </a:rPr>
            <a:t>Recommend </a:t>
          </a:r>
          <a:r>
            <a:rPr lang="en-GB" sz="1600" b="0" i="1">
              <a:solidFill>
                <a:schemeClr val="dk1"/>
              </a:solidFill>
              <a:latin typeface="+mn-lt"/>
              <a:ea typeface="+mn-ea"/>
              <a:cs typeface="+mn-cs"/>
            </a:rPr>
            <a:t>focusing on increasing number of </a:t>
          </a:r>
          <a:r>
            <a:rPr lang="en-GB" sz="1600" b="1" i="1">
              <a:solidFill>
                <a:schemeClr val="dk1"/>
              </a:solidFill>
              <a:latin typeface="+mn-lt"/>
              <a:ea typeface="+mn-ea"/>
              <a:cs typeface="+mn-cs"/>
            </a:rPr>
            <a:t>Fire Stations in London</a:t>
          </a:r>
          <a:r>
            <a:rPr lang="en-GB" sz="1600" b="0" i="1">
              <a:solidFill>
                <a:schemeClr val="dk1"/>
              </a:solidFill>
              <a:latin typeface="+mn-lt"/>
              <a:ea typeface="+mn-ea"/>
              <a:cs typeface="+mn-cs"/>
            </a:rPr>
            <a:t> and </a:t>
          </a:r>
          <a:r>
            <a:rPr lang="en-GB" sz="1600" b="1" i="1">
              <a:solidFill>
                <a:schemeClr val="dk1"/>
              </a:solidFill>
              <a:latin typeface="+mn-lt"/>
              <a:ea typeface="+mn-ea"/>
              <a:cs typeface="+mn-cs"/>
            </a:rPr>
            <a:t>East Midlands</a:t>
          </a:r>
          <a:r>
            <a:rPr lang="en-GB" sz="1600" b="0" i="1">
              <a:solidFill>
                <a:schemeClr val="dk1"/>
              </a:solidFill>
              <a:latin typeface="+mn-lt"/>
              <a:ea typeface="+mn-ea"/>
              <a:cs typeface="+mn-cs"/>
            </a:rPr>
            <a:t> so that response times will be lowered.</a:t>
          </a:r>
        </a:p>
        <a:p>
          <a:endParaRPr lang="en-GB" sz="1100">
            <a:solidFill>
              <a:schemeClr val="dk1"/>
            </a:solidFill>
            <a:latin typeface="+mn-lt"/>
            <a:ea typeface="+mn-ea"/>
            <a:cs typeface="+mn-cs"/>
          </a:endParaRPr>
        </a:p>
      </xdr:txBody>
    </xdr:sp>
    <xdr:clientData/>
  </xdr:twoCellAnchor>
  <xdr:twoCellAnchor>
    <xdr:from>
      <xdr:col>18</xdr:col>
      <xdr:colOff>469900</xdr:colOff>
      <xdr:row>19</xdr:row>
      <xdr:rowOff>3174</xdr:rowOff>
    </xdr:from>
    <xdr:to>
      <xdr:col>39</xdr:col>
      <xdr:colOff>53975</xdr:colOff>
      <xdr:row>33</xdr:row>
      <xdr:rowOff>152400</xdr:rowOff>
    </xdr:to>
    <xdr:sp macro="" textlink="">
      <xdr:nvSpPr>
        <xdr:cNvPr id="6" name="TextBox 5">
          <a:extLst>
            <a:ext uri="{FF2B5EF4-FFF2-40B4-BE49-F238E27FC236}">
              <a16:creationId xmlns:a16="http://schemas.microsoft.com/office/drawing/2014/main" id="{E8FFE3E8-4F24-4B43-AB7E-5B8CA103718D}"/>
            </a:ext>
          </a:extLst>
        </xdr:cNvPr>
        <xdr:cNvSpPr txBox="1"/>
      </xdr:nvSpPr>
      <xdr:spPr>
        <a:xfrm>
          <a:off x="11442700" y="3622674"/>
          <a:ext cx="12385675" cy="28162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i="1" u="sng">
              <a:solidFill>
                <a:schemeClr val="dk1"/>
              </a:solidFill>
              <a:latin typeface="+mn-lt"/>
              <a:ea typeface="+mn-ea"/>
              <a:cs typeface="+mn-cs"/>
            </a:rPr>
            <a:t>Q4. How many Specific Incidents Were Reported?</a:t>
          </a:r>
        </a:p>
        <a:p>
          <a:r>
            <a:rPr lang="en-GB" sz="1800" i="0" u="sng">
              <a:solidFill>
                <a:schemeClr val="dk1"/>
              </a:solidFill>
              <a:latin typeface="+mn-lt"/>
              <a:ea typeface="+mn-ea"/>
              <a:cs typeface="+mn-cs"/>
            </a:rPr>
            <a:t>Fire Service:</a:t>
          </a:r>
          <a:br>
            <a:rPr lang="en-GB" sz="1800" i="0">
              <a:solidFill>
                <a:schemeClr val="dk1"/>
              </a:solidFill>
              <a:latin typeface="+mn-lt"/>
              <a:ea typeface="+mn-ea"/>
              <a:cs typeface="+mn-cs"/>
            </a:rPr>
          </a:br>
          <a:r>
            <a:rPr lang="en-GB" sz="1800" b="1" i="0">
              <a:solidFill>
                <a:schemeClr val="dk1"/>
              </a:solidFill>
              <a:latin typeface="+mn-lt"/>
              <a:ea typeface="+mn-ea"/>
              <a:cs typeface="+mn-cs"/>
            </a:rPr>
            <a:t>18 Fire incidents reported.</a:t>
          </a:r>
        </a:p>
        <a:p>
          <a:r>
            <a:rPr lang="en-GB" sz="1800" i="0" u="sng">
              <a:solidFill>
                <a:schemeClr val="dk1"/>
              </a:solidFill>
              <a:latin typeface="+mn-lt"/>
              <a:ea typeface="+mn-ea"/>
              <a:cs typeface="+mn-cs"/>
            </a:rPr>
            <a:t>Police:</a:t>
          </a:r>
          <a:br>
            <a:rPr lang="en-GB" sz="1800" i="0">
              <a:solidFill>
                <a:schemeClr val="dk1"/>
              </a:solidFill>
              <a:latin typeface="+mn-lt"/>
              <a:ea typeface="+mn-ea"/>
              <a:cs typeface="+mn-cs"/>
            </a:rPr>
          </a:br>
          <a:r>
            <a:rPr lang="en-GB" sz="1800" b="1" i="0">
              <a:solidFill>
                <a:schemeClr val="dk1"/>
              </a:solidFill>
              <a:latin typeface="+mn-lt"/>
              <a:ea typeface="+mn-ea"/>
              <a:cs typeface="+mn-cs"/>
            </a:rPr>
            <a:t>14 Burglary </a:t>
          </a:r>
          <a:r>
            <a:rPr lang="en-GB" sz="1800" b="0" i="0">
              <a:solidFill>
                <a:schemeClr val="dk1"/>
              </a:solidFill>
              <a:latin typeface="+mn-lt"/>
              <a:ea typeface="+mn-ea"/>
              <a:cs typeface="+mn-cs"/>
            </a:rPr>
            <a:t>and standard </a:t>
          </a:r>
          <a:r>
            <a:rPr lang="en-GB" sz="1800" b="1" i="0">
              <a:solidFill>
                <a:schemeClr val="dk1"/>
              </a:solidFill>
              <a:latin typeface="+mn-lt"/>
              <a:ea typeface="+mn-ea"/>
              <a:cs typeface="+mn-cs"/>
            </a:rPr>
            <a:t>Emergency Call</a:t>
          </a:r>
          <a:r>
            <a:rPr lang="en-GB" sz="1800" b="0" i="0">
              <a:solidFill>
                <a:schemeClr val="dk1"/>
              </a:solidFill>
              <a:latin typeface="+mn-lt"/>
              <a:ea typeface="+mn-ea"/>
              <a:cs typeface="+mn-cs"/>
            </a:rPr>
            <a:t>.</a:t>
          </a:r>
        </a:p>
        <a:p>
          <a:endParaRPr lang="en-GB" sz="1800" i="0">
            <a:solidFill>
              <a:schemeClr val="dk1"/>
            </a:solidFill>
            <a:latin typeface="+mn-lt"/>
            <a:ea typeface="+mn-ea"/>
            <a:cs typeface="+mn-cs"/>
          </a:endParaRPr>
        </a:p>
        <a:p>
          <a:r>
            <a:rPr lang="en-GB" sz="1800" b="1" i="0">
              <a:solidFill>
                <a:schemeClr val="dk1"/>
              </a:solidFill>
              <a:latin typeface="+mn-lt"/>
              <a:ea typeface="+mn-ea"/>
              <a:cs typeface="+mn-cs"/>
            </a:rPr>
            <a:t>Recommend </a:t>
          </a:r>
          <a:r>
            <a:rPr lang="en-GB" sz="1800" b="0" i="0">
              <a:solidFill>
                <a:schemeClr val="dk1"/>
              </a:solidFill>
              <a:latin typeface="+mn-lt"/>
              <a:ea typeface="+mn-ea"/>
              <a:cs typeface="+mn-cs"/>
            </a:rPr>
            <a:t>looking deeper into where</a:t>
          </a:r>
          <a:r>
            <a:rPr lang="en-GB" sz="1800" b="1" i="0">
              <a:solidFill>
                <a:schemeClr val="dk1"/>
              </a:solidFill>
              <a:latin typeface="+mn-lt"/>
              <a:ea typeface="+mn-ea"/>
              <a:cs typeface="+mn-cs"/>
            </a:rPr>
            <a:t> Burglary </a:t>
          </a:r>
          <a:r>
            <a:rPr lang="en-GB" sz="1800" b="0" i="0">
              <a:solidFill>
                <a:schemeClr val="dk1"/>
              </a:solidFill>
              <a:latin typeface="+mn-lt"/>
              <a:ea typeface="+mn-ea"/>
              <a:cs typeface="+mn-cs"/>
            </a:rPr>
            <a:t>calls are coming from and adding more patrols to combat the number of calls from that area. Improve communication to public about </a:t>
          </a:r>
          <a:r>
            <a:rPr lang="en-GB" sz="1800" b="1" i="0">
              <a:solidFill>
                <a:schemeClr val="dk1"/>
              </a:solidFill>
              <a:latin typeface="+mn-lt"/>
              <a:ea typeface="+mn-ea"/>
              <a:cs typeface="+mn-cs"/>
            </a:rPr>
            <a:t>Fire Safety </a:t>
          </a:r>
          <a:r>
            <a:rPr lang="en-GB" sz="1800" b="0" i="0">
              <a:solidFill>
                <a:schemeClr val="dk1"/>
              </a:solidFill>
              <a:latin typeface="+mn-lt"/>
              <a:ea typeface="+mn-ea"/>
              <a:cs typeface="+mn-cs"/>
            </a:rPr>
            <a:t>to reduce number of calls.</a:t>
          </a:r>
        </a:p>
        <a:p>
          <a:endParaRPr lang="en-GB" sz="1100">
            <a:solidFill>
              <a:schemeClr val="dk1"/>
            </a:solidFill>
            <a:latin typeface="+mn-lt"/>
            <a:ea typeface="+mn-ea"/>
            <a:cs typeface="+mn-cs"/>
          </a:endParaRPr>
        </a:p>
      </xdr:txBody>
    </xdr:sp>
    <xdr:clientData/>
  </xdr:twoCellAnchor>
  <xdr:twoCellAnchor>
    <xdr:from>
      <xdr:col>0</xdr:col>
      <xdr:colOff>130175</xdr:colOff>
      <xdr:row>36</xdr:row>
      <xdr:rowOff>47625</xdr:rowOff>
    </xdr:from>
    <xdr:to>
      <xdr:col>18</xdr:col>
      <xdr:colOff>349250</xdr:colOff>
      <xdr:row>53</xdr:row>
      <xdr:rowOff>117475</xdr:rowOff>
    </xdr:to>
    <xdr:sp macro="" textlink="">
      <xdr:nvSpPr>
        <xdr:cNvPr id="7" name="TextBox 6">
          <a:extLst>
            <a:ext uri="{FF2B5EF4-FFF2-40B4-BE49-F238E27FC236}">
              <a16:creationId xmlns:a16="http://schemas.microsoft.com/office/drawing/2014/main" id="{7F4692D7-49D5-41C5-A813-33A224E6328B}"/>
            </a:ext>
          </a:extLst>
        </xdr:cNvPr>
        <xdr:cNvSpPr txBox="1"/>
      </xdr:nvSpPr>
      <xdr:spPr>
        <a:xfrm>
          <a:off x="130175" y="6905625"/>
          <a:ext cx="11191875" cy="3308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i="1" u="sng">
              <a:solidFill>
                <a:schemeClr val="dk1"/>
              </a:solidFill>
              <a:latin typeface="+mn-lt"/>
              <a:ea typeface="+mn-ea"/>
              <a:cs typeface="+mn-cs"/>
            </a:rPr>
            <a:t>Q5. How Much Budget Is Allocated?</a:t>
          </a:r>
        </a:p>
        <a:p>
          <a:r>
            <a:rPr lang="en-GB" sz="1600" i="1" u="sng">
              <a:solidFill>
                <a:schemeClr val="dk1"/>
              </a:solidFill>
              <a:latin typeface="+mn-lt"/>
              <a:ea typeface="+mn-ea"/>
              <a:cs typeface="+mn-cs"/>
            </a:rPr>
            <a:t>Fire Service:</a:t>
          </a:r>
          <a:br>
            <a:rPr lang="en-GB" sz="1600" i="1">
              <a:solidFill>
                <a:schemeClr val="dk1"/>
              </a:solidFill>
              <a:latin typeface="+mn-lt"/>
              <a:ea typeface="+mn-ea"/>
              <a:cs typeface="+mn-cs"/>
            </a:rPr>
          </a:br>
          <a:r>
            <a:rPr lang="en-GB" sz="1600" b="1" i="1">
              <a:solidFill>
                <a:schemeClr val="dk1"/>
              </a:solidFill>
              <a:latin typeface="+mn-lt"/>
              <a:ea typeface="+mn-ea"/>
              <a:cs typeface="+mn-cs"/>
            </a:rPr>
            <a:t>North West </a:t>
          </a:r>
          <a:r>
            <a:rPr lang="en-GB" sz="1600" b="0" i="1">
              <a:solidFill>
                <a:schemeClr val="dk1"/>
              </a:solidFill>
              <a:latin typeface="+mn-lt"/>
              <a:ea typeface="+mn-ea"/>
              <a:cs typeface="+mn-cs"/>
            </a:rPr>
            <a:t>has the highest budget of </a:t>
          </a:r>
          <a:r>
            <a:rPr lang="en-GB" sz="1600" b="1" i="1">
              <a:solidFill>
                <a:schemeClr val="dk1"/>
              </a:solidFill>
              <a:latin typeface="+mn-lt"/>
              <a:ea typeface="+mn-ea"/>
              <a:cs typeface="+mn-cs"/>
            </a:rPr>
            <a:t>14.4 mil.</a:t>
          </a:r>
        </a:p>
        <a:p>
          <a:r>
            <a:rPr lang="en-GB" sz="1600" i="1">
              <a:solidFill>
                <a:schemeClr val="dk1"/>
              </a:solidFill>
              <a:latin typeface="+mn-lt"/>
              <a:ea typeface="+mn-ea"/>
              <a:cs typeface="+mn-cs"/>
            </a:rPr>
            <a:t> </a:t>
          </a:r>
          <a:r>
            <a:rPr lang="en-GB" sz="1600" b="1" i="1">
              <a:solidFill>
                <a:schemeClr val="dk1"/>
              </a:solidFill>
              <a:latin typeface="+mn-lt"/>
              <a:ea typeface="+mn-ea"/>
              <a:cs typeface="+mn-cs"/>
            </a:rPr>
            <a:t>East Midlands </a:t>
          </a:r>
          <a:r>
            <a:rPr lang="en-GB" sz="1600" b="0" i="1">
              <a:solidFill>
                <a:schemeClr val="dk1"/>
              </a:solidFill>
              <a:latin typeface="+mn-lt"/>
              <a:ea typeface="+mn-ea"/>
              <a:cs typeface="+mn-cs"/>
            </a:rPr>
            <a:t>has the lowest budget of </a:t>
          </a:r>
          <a:r>
            <a:rPr lang="en-GB" sz="1600" b="1" i="1">
              <a:solidFill>
                <a:schemeClr val="dk1"/>
              </a:solidFill>
              <a:latin typeface="+mn-lt"/>
              <a:ea typeface="+mn-ea"/>
              <a:cs typeface="+mn-cs"/>
            </a:rPr>
            <a:t>1.9 mil.</a:t>
          </a:r>
        </a:p>
        <a:p>
          <a:r>
            <a:rPr lang="en-GB" sz="1600" i="1" u="sng">
              <a:solidFill>
                <a:schemeClr val="dk1"/>
              </a:solidFill>
              <a:latin typeface="+mn-lt"/>
              <a:ea typeface="+mn-ea"/>
              <a:cs typeface="+mn-cs"/>
            </a:rPr>
            <a:t>Police:</a:t>
          </a:r>
          <a:br>
            <a:rPr lang="en-GB" sz="1600" i="1">
              <a:solidFill>
                <a:schemeClr val="dk1"/>
              </a:solidFill>
              <a:latin typeface="+mn-lt"/>
              <a:ea typeface="+mn-ea"/>
              <a:cs typeface="+mn-cs"/>
            </a:rPr>
          </a:br>
          <a:r>
            <a:rPr lang="en-GB" sz="1600" b="1" i="1">
              <a:solidFill>
                <a:schemeClr val="dk1"/>
              </a:solidFill>
              <a:latin typeface="+mn-lt"/>
              <a:ea typeface="+mn-ea"/>
              <a:cs typeface="+mn-cs"/>
            </a:rPr>
            <a:t>Scotland </a:t>
          </a:r>
          <a:r>
            <a:rPr lang="en-GB" sz="1600" b="0" i="1">
              <a:solidFill>
                <a:schemeClr val="dk1"/>
              </a:solidFill>
              <a:latin typeface="+mn-lt"/>
              <a:ea typeface="+mn-ea"/>
              <a:cs typeface="+mn-cs"/>
            </a:rPr>
            <a:t>has the highest budget of </a:t>
          </a:r>
          <a:r>
            <a:rPr lang="en-GB" sz="1600" b="1" i="1">
              <a:solidFill>
                <a:schemeClr val="dk1"/>
              </a:solidFill>
              <a:latin typeface="+mn-lt"/>
              <a:ea typeface="+mn-ea"/>
              <a:cs typeface="+mn-cs"/>
            </a:rPr>
            <a:t>10.1 mil.</a:t>
          </a:r>
        </a:p>
        <a:p>
          <a:r>
            <a:rPr lang="en-GB" sz="1600" b="1" i="1">
              <a:solidFill>
                <a:schemeClr val="dk1"/>
              </a:solidFill>
              <a:latin typeface="+mn-lt"/>
              <a:ea typeface="+mn-ea"/>
              <a:cs typeface="+mn-cs"/>
            </a:rPr>
            <a:t>Northern Ireland</a:t>
          </a:r>
          <a:r>
            <a:rPr lang="en-GB" sz="1600" b="0" i="1">
              <a:solidFill>
                <a:schemeClr val="dk1"/>
              </a:solidFill>
              <a:latin typeface="+mn-lt"/>
              <a:ea typeface="+mn-ea"/>
              <a:cs typeface="+mn-cs"/>
            </a:rPr>
            <a:t> has the lowest budget of </a:t>
          </a:r>
          <a:r>
            <a:rPr lang="en-GB" sz="1600" b="1" i="1">
              <a:solidFill>
                <a:schemeClr val="dk1"/>
              </a:solidFill>
              <a:latin typeface="+mn-lt"/>
              <a:ea typeface="+mn-ea"/>
              <a:cs typeface="+mn-cs"/>
            </a:rPr>
            <a:t>4.7 mil.</a:t>
          </a:r>
        </a:p>
        <a:p>
          <a:endParaRPr lang="en-GB" sz="1600" i="1">
            <a:solidFill>
              <a:schemeClr val="dk1"/>
            </a:solidFill>
            <a:latin typeface="+mn-lt"/>
            <a:ea typeface="+mn-ea"/>
            <a:cs typeface="+mn-cs"/>
          </a:endParaRPr>
        </a:p>
        <a:p>
          <a:r>
            <a:rPr lang="en-GB" sz="1600" b="1" i="1">
              <a:solidFill>
                <a:schemeClr val="dk1"/>
              </a:solidFill>
              <a:latin typeface="+mn-lt"/>
              <a:ea typeface="+mn-ea"/>
              <a:cs typeface="+mn-cs"/>
            </a:rPr>
            <a:t>Recommend </a:t>
          </a:r>
          <a:r>
            <a:rPr lang="en-GB" sz="1600" b="0" i="1">
              <a:solidFill>
                <a:schemeClr val="dk1"/>
              </a:solidFill>
              <a:latin typeface="+mn-lt"/>
              <a:ea typeface="+mn-ea"/>
              <a:cs typeface="+mn-cs"/>
            </a:rPr>
            <a:t>focusing on increasing funding of </a:t>
          </a:r>
          <a:r>
            <a:rPr lang="en-GB" sz="1600" b="1" i="1">
              <a:solidFill>
                <a:schemeClr val="dk1"/>
              </a:solidFill>
              <a:latin typeface="+mn-lt"/>
              <a:ea typeface="+mn-ea"/>
              <a:cs typeface="+mn-cs"/>
            </a:rPr>
            <a:t>Fire Stations in East Midlands</a:t>
          </a:r>
          <a:r>
            <a:rPr lang="en-GB" sz="1600" b="0" i="1">
              <a:solidFill>
                <a:schemeClr val="dk1"/>
              </a:solidFill>
              <a:latin typeface="+mn-lt"/>
              <a:ea typeface="+mn-ea"/>
              <a:cs typeface="+mn-cs"/>
            </a:rPr>
            <a:t> to improve resolution of calls. Also drastically improve funding for </a:t>
          </a:r>
          <a:r>
            <a:rPr lang="en-GB" sz="1600" b="1" i="1">
              <a:solidFill>
                <a:schemeClr val="dk1"/>
              </a:solidFill>
              <a:latin typeface="+mn-lt"/>
              <a:ea typeface="+mn-ea"/>
              <a:cs typeface="+mn-cs"/>
            </a:rPr>
            <a:t>Northern Ireland</a:t>
          </a:r>
          <a:r>
            <a:rPr lang="en-GB" sz="1600" b="0" i="1">
              <a:solidFill>
                <a:schemeClr val="dk1"/>
              </a:solidFill>
              <a:latin typeface="+mn-lt"/>
              <a:ea typeface="+mn-ea"/>
              <a:cs typeface="+mn-cs"/>
            </a:rPr>
            <a:t> as this would also greatly improve the resolution of calls with more  personnel to respond.</a:t>
          </a:r>
        </a:p>
      </xdr:txBody>
    </xdr:sp>
    <xdr:clientData/>
  </xdr:twoCellAnchor>
  <xdr:twoCellAnchor>
    <xdr:from>
      <xdr:col>18</xdr:col>
      <xdr:colOff>454025</xdr:colOff>
      <xdr:row>36</xdr:row>
      <xdr:rowOff>57150</xdr:rowOff>
    </xdr:from>
    <xdr:to>
      <xdr:col>39</xdr:col>
      <xdr:colOff>73025</xdr:colOff>
      <xdr:row>53</xdr:row>
      <xdr:rowOff>114299</xdr:rowOff>
    </xdr:to>
    <xdr:sp macro="" textlink="">
      <xdr:nvSpPr>
        <xdr:cNvPr id="8" name="TextBox 7">
          <a:extLst>
            <a:ext uri="{FF2B5EF4-FFF2-40B4-BE49-F238E27FC236}">
              <a16:creationId xmlns:a16="http://schemas.microsoft.com/office/drawing/2014/main" id="{2DB9800E-2F06-4F98-86E4-537FCA3219AF}"/>
            </a:ext>
          </a:extLst>
        </xdr:cNvPr>
        <xdr:cNvSpPr txBox="1"/>
      </xdr:nvSpPr>
      <xdr:spPr>
        <a:xfrm>
          <a:off x="11426825" y="6915150"/>
          <a:ext cx="12420600" cy="32956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i="1" u="sng">
              <a:solidFill>
                <a:schemeClr val="dk1"/>
              </a:solidFill>
              <a:latin typeface="+mn-lt"/>
              <a:ea typeface="+mn-ea"/>
              <a:cs typeface="+mn-cs"/>
            </a:rPr>
            <a:t>Q6. What Is The Overall Satisfaction Of Services?</a:t>
          </a:r>
        </a:p>
        <a:p>
          <a:r>
            <a:rPr lang="en-GB" sz="1800" i="1" u="sng">
              <a:solidFill>
                <a:schemeClr val="dk1"/>
              </a:solidFill>
              <a:latin typeface="+mn-lt"/>
              <a:ea typeface="+mn-ea"/>
              <a:cs typeface="+mn-cs"/>
            </a:rPr>
            <a:t>Fire Service:</a:t>
          </a:r>
          <a:br>
            <a:rPr lang="en-GB" sz="1800" i="1">
              <a:solidFill>
                <a:schemeClr val="dk1"/>
              </a:solidFill>
              <a:latin typeface="+mn-lt"/>
              <a:ea typeface="+mn-ea"/>
              <a:cs typeface="+mn-cs"/>
            </a:rPr>
          </a:br>
          <a:r>
            <a:rPr lang="en-GB" sz="1800" b="1" i="1">
              <a:solidFill>
                <a:schemeClr val="dk1"/>
              </a:solidFill>
              <a:latin typeface="+mn-lt"/>
              <a:ea typeface="+mn-ea"/>
              <a:cs typeface="+mn-cs"/>
            </a:rPr>
            <a:t>West Midlands </a:t>
          </a:r>
          <a:r>
            <a:rPr lang="en-GB" sz="1800" b="0" i="1">
              <a:solidFill>
                <a:schemeClr val="dk1"/>
              </a:solidFill>
              <a:latin typeface="+mn-lt"/>
              <a:ea typeface="+mn-ea"/>
              <a:cs typeface="+mn-cs"/>
            </a:rPr>
            <a:t>has the highest </a:t>
          </a:r>
          <a:r>
            <a:rPr lang="en-GB" sz="1800" b="1" i="1">
              <a:solidFill>
                <a:schemeClr val="dk1"/>
              </a:solidFill>
              <a:latin typeface="+mn-lt"/>
              <a:ea typeface="+mn-ea"/>
              <a:cs typeface="+mn-cs"/>
            </a:rPr>
            <a:t>Satisfaction Rate </a:t>
          </a:r>
          <a:r>
            <a:rPr lang="en-GB" sz="1800" b="0" i="1">
              <a:solidFill>
                <a:schemeClr val="dk1"/>
              </a:solidFill>
              <a:latin typeface="+mn-lt"/>
              <a:ea typeface="+mn-ea"/>
              <a:cs typeface="+mn-cs"/>
            </a:rPr>
            <a:t>with </a:t>
          </a:r>
          <a:r>
            <a:rPr lang="en-GB" sz="1800" b="1" i="1">
              <a:solidFill>
                <a:schemeClr val="dk1"/>
              </a:solidFill>
              <a:latin typeface="+mn-lt"/>
              <a:ea typeface="+mn-ea"/>
              <a:cs typeface="+mn-cs"/>
            </a:rPr>
            <a:t>84.1 %.</a:t>
          </a:r>
        </a:p>
        <a:p>
          <a:r>
            <a:rPr lang="en-GB" sz="1800" b="1" i="1">
              <a:solidFill>
                <a:schemeClr val="dk1"/>
              </a:solidFill>
              <a:latin typeface="+mn-lt"/>
              <a:ea typeface="+mn-ea"/>
              <a:cs typeface="+mn-cs"/>
            </a:rPr>
            <a:t> East of England </a:t>
          </a:r>
          <a:r>
            <a:rPr lang="en-GB" sz="1800" b="0" i="1">
              <a:solidFill>
                <a:schemeClr val="dk1"/>
              </a:solidFill>
              <a:latin typeface="+mn-lt"/>
              <a:ea typeface="+mn-ea"/>
              <a:cs typeface="+mn-cs"/>
            </a:rPr>
            <a:t>has the lowest </a:t>
          </a:r>
          <a:r>
            <a:rPr lang="en-GB" sz="1800" b="1" i="1">
              <a:solidFill>
                <a:schemeClr val="dk1"/>
              </a:solidFill>
              <a:latin typeface="+mn-lt"/>
              <a:ea typeface="+mn-ea"/>
              <a:cs typeface="+mn-cs"/>
            </a:rPr>
            <a:t>Satisfaction Rate </a:t>
          </a:r>
          <a:r>
            <a:rPr lang="en-GB" sz="1800" b="0" i="1">
              <a:solidFill>
                <a:schemeClr val="dk1"/>
              </a:solidFill>
              <a:latin typeface="+mn-lt"/>
              <a:ea typeface="+mn-ea"/>
              <a:cs typeface="+mn-cs"/>
            </a:rPr>
            <a:t>with </a:t>
          </a:r>
          <a:r>
            <a:rPr lang="en-GB" sz="1800" b="1" i="1">
              <a:solidFill>
                <a:schemeClr val="dk1"/>
              </a:solidFill>
              <a:latin typeface="+mn-lt"/>
              <a:ea typeface="+mn-ea"/>
              <a:cs typeface="+mn-cs"/>
            </a:rPr>
            <a:t>72.3 %</a:t>
          </a:r>
          <a:r>
            <a:rPr lang="en-GB" sz="1800" b="0" i="1">
              <a:solidFill>
                <a:schemeClr val="dk1"/>
              </a:solidFill>
              <a:latin typeface="+mn-lt"/>
              <a:ea typeface="+mn-ea"/>
              <a:cs typeface="+mn-cs"/>
            </a:rPr>
            <a:t>.</a:t>
          </a:r>
        </a:p>
        <a:p>
          <a:r>
            <a:rPr lang="en-GB" sz="1800" i="1" u="sng">
              <a:solidFill>
                <a:schemeClr val="dk1"/>
              </a:solidFill>
              <a:latin typeface="+mn-lt"/>
              <a:ea typeface="+mn-ea"/>
              <a:cs typeface="+mn-cs"/>
            </a:rPr>
            <a:t>Police:</a:t>
          </a:r>
          <a:br>
            <a:rPr lang="en-GB" sz="1800" i="1">
              <a:solidFill>
                <a:schemeClr val="dk1"/>
              </a:solidFill>
              <a:latin typeface="+mn-lt"/>
              <a:ea typeface="+mn-ea"/>
              <a:cs typeface="+mn-cs"/>
            </a:rPr>
          </a:br>
          <a:r>
            <a:rPr lang="en-GB" sz="1800" b="1" i="1" u="none">
              <a:solidFill>
                <a:schemeClr val="dk1"/>
              </a:solidFill>
              <a:latin typeface="+mn-lt"/>
              <a:ea typeface="+mn-ea"/>
              <a:cs typeface="+mn-cs"/>
            </a:rPr>
            <a:t>Northern Ireland </a:t>
          </a:r>
          <a:r>
            <a:rPr lang="en-GB" sz="1800" b="0" i="1" u="none">
              <a:solidFill>
                <a:schemeClr val="dk1"/>
              </a:solidFill>
              <a:latin typeface="+mn-lt"/>
              <a:ea typeface="+mn-ea"/>
              <a:cs typeface="+mn-cs"/>
            </a:rPr>
            <a:t>has the highest </a:t>
          </a:r>
          <a:r>
            <a:rPr lang="en-GB" sz="1800" b="1" i="1" u="none">
              <a:solidFill>
                <a:schemeClr val="dk1"/>
              </a:solidFill>
              <a:latin typeface="+mn-lt"/>
              <a:ea typeface="+mn-ea"/>
              <a:cs typeface="+mn-cs"/>
            </a:rPr>
            <a:t>Satisfaction Rate </a:t>
          </a:r>
          <a:r>
            <a:rPr lang="en-GB" sz="1800" b="0" i="1" u="none">
              <a:solidFill>
                <a:schemeClr val="dk1"/>
              </a:solidFill>
              <a:latin typeface="+mn-lt"/>
              <a:ea typeface="+mn-ea"/>
              <a:cs typeface="+mn-cs"/>
            </a:rPr>
            <a:t>with </a:t>
          </a:r>
          <a:r>
            <a:rPr lang="en-GB" sz="1800" b="1" i="1" u="none">
              <a:solidFill>
                <a:schemeClr val="dk1"/>
              </a:solidFill>
              <a:latin typeface="+mn-lt"/>
              <a:ea typeface="+mn-ea"/>
              <a:cs typeface="+mn-cs"/>
            </a:rPr>
            <a:t>96.7 %.</a:t>
          </a:r>
        </a:p>
        <a:p>
          <a:r>
            <a:rPr lang="en-GB" sz="1800" b="1" i="1" u="none">
              <a:solidFill>
                <a:schemeClr val="dk1"/>
              </a:solidFill>
              <a:latin typeface="+mn-lt"/>
              <a:ea typeface="+mn-ea"/>
              <a:cs typeface="+mn-cs"/>
            </a:rPr>
            <a:t>South East </a:t>
          </a:r>
          <a:r>
            <a:rPr lang="en-GB" sz="1800" b="0" i="1" u="none">
              <a:solidFill>
                <a:schemeClr val="dk1"/>
              </a:solidFill>
              <a:latin typeface="+mn-lt"/>
              <a:ea typeface="+mn-ea"/>
              <a:cs typeface="+mn-cs"/>
            </a:rPr>
            <a:t>has the lowest </a:t>
          </a:r>
          <a:r>
            <a:rPr lang="en-GB" sz="1800" b="1" i="1" u="none">
              <a:solidFill>
                <a:schemeClr val="dk1"/>
              </a:solidFill>
              <a:latin typeface="+mn-lt"/>
              <a:ea typeface="+mn-ea"/>
              <a:cs typeface="+mn-cs"/>
            </a:rPr>
            <a:t>Satisfaction Rate </a:t>
          </a:r>
          <a:r>
            <a:rPr lang="en-GB" sz="1800" b="0" i="1" u="none">
              <a:solidFill>
                <a:schemeClr val="dk1"/>
              </a:solidFill>
              <a:latin typeface="+mn-lt"/>
              <a:ea typeface="+mn-ea"/>
              <a:cs typeface="+mn-cs"/>
            </a:rPr>
            <a:t>with </a:t>
          </a:r>
          <a:r>
            <a:rPr lang="en-GB" sz="1800" b="1" i="1" u="none">
              <a:solidFill>
                <a:schemeClr val="dk1"/>
              </a:solidFill>
              <a:latin typeface="+mn-lt"/>
              <a:ea typeface="+mn-ea"/>
              <a:cs typeface="+mn-cs"/>
            </a:rPr>
            <a:t>71.4 %.</a:t>
          </a:r>
        </a:p>
        <a:p>
          <a:endParaRPr lang="en-GB" sz="1800" i="1">
            <a:solidFill>
              <a:schemeClr val="dk1"/>
            </a:solidFill>
            <a:latin typeface="+mn-lt"/>
            <a:ea typeface="+mn-ea"/>
            <a:cs typeface="+mn-cs"/>
          </a:endParaRPr>
        </a:p>
        <a:p>
          <a:r>
            <a:rPr lang="en-GB" sz="1800" b="1" i="1">
              <a:solidFill>
                <a:schemeClr val="dk1"/>
              </a:solidFill>
              <a:latin typeface="+mn-lt"/>
              <a:ea typeface="+mn-ea"/>
              <a:cs typeface="+mn-cs"/>
            </a:rPr>
            <a:t>Recommend </a:t>
          </a:r>
          <a:r>
            <a:rPr lang="en-GB" sz="1800" b="0" i="1">
              <a:solidFill>
                <a:schemeClr val="dk1"/>
              </a:solidFill>
              <a:latin typeface="+mn-lt"/>
              <a:ea typeface="+mn-ea"/>
              <a:cs typeface="+mn-cs"/>
            </a:rPr>
            <a:t>reaching out to local communities in both</a:t>
          </a:r>
          <a:r>
            <a:rPr lang="en-GB" sz="1800" b="1" i="1">
              <a:solidFill>
                <a:schemeClr val="dk1"/>
              </a:solidFill>
              <a:latin typeface="+mn-lt"/>
              <a:ea typeface="+mn-ea"/>
              <a:cs typeface="+mn-cs"/>
            </a:rPr>
            <a:t> Northern Ireland </a:t>
          </a:r>
          <a:r>
            <a:rPr lang="en-GB" sz="1800" b="0" i="1">
              <a:solidFill>
                <a:schemeClr val="dk1"/>
              </a:solidFill>
              <a:latin typeface="+mn-lt"/>
              <a:ea typeface="+mn-ea"/>
              <a:cs typeface="+mn-cs"/>
            </a:rPr>
            <a:t>and </a:t>
          </a:r>
          <a:r>
            <a:rPr lang="en-GB" sz="1800" b="1" i="1">
              <a:solidFill>
                <a:schemeClr val="dk1"/>
              </a:solidFill>
              <a:latin typeface="+mn-lt"/>
              <a:ea typeface="+mn-ea"/>
              <a:cs typeface="+mn-cs"/>
            </a:rPr>
            <a:t>South East</a:t>
          </a:r>
          <a:r>
            <a:rPr lang="en-GB" sz="1800" b="0" i="1">
              <a:solidFill>
                <a:schemeClr val="dk1"/>
              </a:solidFill>
              <a:latin typeface="+mn-lt"/>
              <a:ea typeface="+mn-ea"/>
              <a:cs typeface="+mn-cs"/>
            </a:rPr>
            <a:t> regions to understand what improvements can be made.</a:t>
          </a:r>
        </a:p>
        <a:p>
          <a:endParaRPr lang="en-GB" sz="1100">
            <a:solidFill>
              <a:schemeClr val="dk1"/>
            </a:solidFill>
            <a:latin typeface="+mn-lt"/>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el Owen" refreshedDate="46296.774786111113" createdVersion="8" refreshedVersion="8" minRefreshableVersion="3" recordCount="150" xr:uid="{DF464AA4-20FA-4023-8741-7BD2382C91BC}">
  <cacheSource type="worksheet">
    <worksheetSource ref="B29" sheet="Cleaned Data &amp; Pivot Table"/>
  </cacheSource>
  <cacheFields count="14">
    <cacheField name="Department" numFmtId="0">
      <sharedItems count="2">
        <s v="Fire"/>
        <s v="Police"/>
      </sharedItems>
    </cacheField>
    <cacheField name="Region" numFmtId="0">
      <sharedItems count="12">
        <s v="Yorkshire and the Humber"/>
        <s v="North East"/>
        <s v="North West"/>
        <s v="Scotland"/>
        <s v="Wales"/>
        <s v="South East"/>
        <s v="Northern Ireland"/>
        <s v="East Midlands"/>
        <s v="West Midlands"/>
        <s v="East of England"/>
        <s v="South West"/>
        <s v="London"/>
      </sharedItems>
    </cacheField>
    <cacheField name="Year" numFmtId="0">
      <sharedItems containsSemiMixedTypes="0" containsString="0" containsNumber="1" containsInteger="1" minValue="2018" maxValue="2024"/>
    </cacheField>
    <cacheField name="Incident Type" numFmtId="0">
      <sharedItems count="7">
        <s v="Burglary"/>
        <s v="Vandalism"/>
        <s v="Road Accident"/>
        <s v="Fire"/>
        <s v="Assault"/>
        <s v="Theft"/>
        <s v="Emergency Call"/>
      </sharedItems>
    </cacheField>
    <cacheField name="Cases Reported" numFmtId="0">
      <sharedItems containsSemiMixedTypes="0" containsString="0" containsNumber="1" containsInteger="1" minValue="106" maxValue="997"/>
    </cacheField>
    <cacheField name="Cases Resolved" numFmtId="0">
      <sharedItems containsSemiMixedTypes="0" containsString="0" containsNumber="1" containsInteger="1" minValue="52" maxValue="856"/>
    </cacheField>
    <cacheField name="%" numFmtId="9">
      <sharedItems containsSemiMixedTypes="0" containsString="0" containsNumber="1" minValue="9.201213346814964E-2" maxValue="1" count="88">
        <n v="1"/>
        <n v="0.76412429378531077"/>
        <n v="0.13547486033519554"/>
        <n v="0.13909378292939936"/>
        <n v="0.1238390092879257"/>
        <n v="0.79759862778730706"/>
        <n v="0.37484116899618808"/>
        <n v="0.4732142857142857"/>
        <n v="0.16993464052287582"/>
        <n v="0.39947089947089948"/>
        <n v="0.17704517704517705"/>
        <n v="0.66472303206997085"/>
        <n v="0.75369458128078815"/>
        <n v="0.24869927159209157"/>
        <n v="0.37769784172661869"/>
        <n v="0.3224852071005917"/>
        <n v="0.11405835543766578"/>
        <n v="0.14262820512820512"/>
        <n v="0.77197149643705465"/>
        <n v="0.83271375464684017"/>
        <n v="0.47192224622030238"/>
        <n v="0.75906432748538011"/>
        <n v="0.49532710280373832"/>
        <n v="0.81775147928994085"/>
        <n v="0.71014492753623193"/>
        <n v="0.75426621160409557"/>
        <n v="0.25075528700906347"/>
        <n v="0.67147435897435892"/>
        <n v="0.31918819188191883"/>
        <n v="0.53439153439153442"/>
        <n v="0.87969924812030076"/>
        <n v="0.53624856156501721"/>
        <n v="0.24330900243309003"/>
        <n v="0.96182266009852213"/>
        <n v="0.38198757763975155"/>
        <n v="0.4576271186440678"/>
        <n v="0.77606635071090047"/>
        <n v="0.78734439834024894"/>
        <n v="0.76095118898623282"/>
        <n v="0.62253521126760558"/>
        <n v="0.27575442247658688"/>
        <n v="0.10698365527488855"/>
        <n v="0.52327221438645977"/>
        <n v="0.63709677419354838"/>
        <n v="0.79978700745473907"/>
        <n v="0.63421828908554567"/>
        <n v="9.201213346814964E-2"/>
        <n v="0.3688989784335982"/>
        <n v="0.83887468030690537"/>
        <n v="0.35907723169508526"/>
        <n v="0.17893544733861835"/>
        <n v="0.37833333333333335"/>
        <n v="0.94106463878326996"/>
        <n v="0.98368298368298368"/>
        <n v="0.2560386473429952"/>
        <n v="0.53055141579731746"/>
        <n v="0.16043613707165108"/>
        <n v="0.90389610389610386"/>
        <n v="0.52469135802469136"/>
        <n v="0.10993657505285412"/>
        <n v="0.72363636363636363"/>
        <n v="0.88612836438923392"/>
        <n v="0.90367775831873909"/>
        <n v="0.63395810363836824"/>
        <n v="0.75877192982456143"/>
        <n v="0.4868131868131868"/>
        <n v="0.12"/>
        <n v="0.1045673076923077"/>
        <n v="0.27868852459016391"/>
        <n v="0.34143377885783716"/>
        <n v="0.58857808857808858"/>
        <n v="0.79113924050632911"/>
        <n v="0.96695402298850575"/>
        <n v="0.72868217054263562"/>
        <n v="0.64119601328903653"/>
        <n v="0.49259259259259258"/>
        <n v="0.85487528344671204"/>
        <n v="0.90613718411552346"/>
        <n v="0.86848635235732008"/>
        <n v="0.3235294117647059"/>
        <n v="0.97238204833141539"/>
        <n v="0.79052369077306728"/>
        <n v="0.37089201877934275"/>
        <n v="0.94716242661448136"/>
        <n v="0.22706422018348624"/>
        <n v="0.56557377049180324"/>
        <n v="0.13866666666666666"/>
        <n v="0.76997578692493951"/>
      </sharedItems>
    </cacheField>
    <cacheField name="Average Response Time (min)" numFmtId="0">
      <sharedItems containsSemiMixedTypes="0" containsString="0" containsNumber="1" minValue="3" maxValue="19.899999999999999"/>
    </cacheField>
    <cacheField name="Budget (£)" numFmtId="0">
      <sharedItems containsSemiMixedTypes="0" containsString="0" containsNumber="1" containsInteger="1" minValue="511770" maxValue="2496711"/>
    </cacheField>
    <cacheField name="Staff Count" numFmtId="0">
      <sharedItems containsSemiMixedTypes="0" containsString="0" containsNumber="1" containsInteger="1" minValue="31" maxValue="199" count="97">
        <n v="128"/>
        <n v="112"/>
        <n v="43"/>
        <n v="88"/>
        <n v="100"/>
        <n v="87"/>
        <n v="41"/>
        <n v="106"/>
        <n v="46"/>
        <n v="198"/>
        <n v="148"/>
        <n v="154"/>
        <n v="61"/>
        <n v="40"/>
        <n v="129"/>
        <n v="94"/>
        <n v="187"/>
        <n v="96"/>
        <n v="142"/>
        <n v="85"/>
        <n v="81"/>
        <n v="89"/>
        <n v="191"/>
        <n v="47"/>
        <n v="192"/>
        <n v="76"/>
        <n v="53"/>
        <n v="103"/>
        <n v="124"/>
        <n v="152"/>
        <n v="107"/>
        <n v="194"/>
        <n v="193"/>
        <n v="132"/>
        <n v="170"/>
        <n v="178"/>
        <n v="109"/>
        <n v="123"/>
        <n v="168"/>
        <n v="78"/>
        <n v="175"/>
        <n v="146"/>
        <n v="167"/>
        <n v="179"/>
        <n v="181"/>
        <n v="143"/>
        <n v="38"/>
        <n v="166"/>
        <n v="31"/>
        <n v="79"/>
        <n v="199"/>
        <n v="159"/>
        <n v="90"/>
        <n v="165"/>
        <n v="177"/>
        <n v="102"/>
        <n v="113"/>
        <n v="189"/>
        <n v="63"/>
        <n v="176"/>
        <n v="98"/>
        <n v="120"/>
        <n v="92"/>
        <n v="169"/>
        <n v="127"/>
        <n v="65"/>
        <n v="45"/>
        <n v="95"/>
        <n v="140"/>
        <n v="186"/>
        <n v="137"/>
        <n v="54"/>
        <n v="153"/>
        <n v="125"/>
        <n v="59"/>
        <n v="58"/>
        <n v="111"/>
        <n v="121"/>
        <n v="99"/>
        <n v="185"/>
        <n v="39"/>
        <n v="74"/>
        <n v="82"/>
        <n v="161"/>
        <n v="197"/>
        <n v="83"/>
        <n v="163"/>
        <n v="151"/>
        <n v="158"/>
        <n v="196"/>
        <n v="133"/>
        <n v="69"/>
        <n v="86"/>
        <n v="108"/>
        <n v="149"/>
        <n v="71"/>
        <n v="173"/>
      </sharedItems>
    </cacheField>
    <cacheField name="Public Satisfaction (%)" numFmtId="0">
      <sharedItems containsSemiMixedTypes="0" containsString="0" containsNumber="1" containsInteger="1" minValue="61" maxValue="99"/>
    </cacheField>
    <cacheField name="Response Time Group" numFmtId="0">
      <sharedItems/>
    </cacheField>
    <cacheField name="Caseload Group" numFmtId="0">
      <sharedItems/>
    </cacheField>
    <cacheField name="Field1" numFmtId="0" formula=" 0" databaseField="0"/>
  </cacheFields>
  <extLst>
    <ext xmlns:x14="http://schemas.microsoft.com/office/spreadsheetml/2009/9/main" uri="{725AE2AE-9491-48be-B2B4-4EB974FC3084}">
      <x14:pivotCacheDefinition pivotCacheId="160641389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hael Owen" refreshedDate="46299.097282175928" createdVersion="8" refreshedVersion="8" minRefreshableVersion="3" recordCount="150" xr:uid="{DFD9CE5D-A63C-45D9-A96C-E218B1A5ECE9}">
  <cacheSource type="worksheet">
    <worksheetSource ref="A1:M151" sheet="Cleaned Data &amp; Pivot Table"/>
  </cacheSource>
  <cacheFields count="13">
    <cacheField name="Department" numFmtId="0">
      <sharedItems count="2">
        <s v="Fire"/>
        <s v="Police"/>
      </sharedItems>
    </cacheField>
    <cacheField name="Region" numFmtId="0">
      <sharedItems count="12">
        <s v="Yorkshire and the Humber"/>
        <s v="North East"/>
        <s v="North West"/>
        <s v="Scotland"/>
        <s v="Wales"/>
        <s v="South East"/>
        <s v="Northern Ireland"/>
        <s v="East Midlands"/>
        <s v="West Midlands"/>
        <s v="East of England"/>
        <s v="South West"/>
        <s v="London"/>
      </sharedItems>
    </cacheField>
    <cacheField name="Year" numFmtId="0">
      <sharedItems containsSemiMixedTypes="0" containsString="0" containsNumber="1" containsInteger="1" minValue="2018" maxValue="2024"/>
    </cacheField>
    <cacheField name="Incident Type" numFmtId="0">
      <sharedItems/>
    </cacheField>
    <cacheField name="Cases Reported" numFmtId="0">
      <sharedItems containsSemiMixedTypes="0" containsString="0" containsNumber="1" containsInteger="1" minValue="106" maxValue="997"/>
    </cacheField>
    <cacheField name="Cases Resolved" numFmtId="0">
      <sharedItems containsSemiMixedTypes="0" containsString="0" containsNumber="1" containsInteger="1" minValue="52" maxValue="856"/>
    </cacheField>
    <cacheField name="%" numFmtId="9">
      <sharedItems containsSemiMixedTypes="0" containsString="0" containsNumber="1" minValue="9.201213346814964E-2" maxValue="1"/>
    </cacheField>
    <cacheField name="Average Response Time (min)" numFmtId="0">
      <sharedItems containsSemiMixedTypes="0" containsString="0" containsNumber="1" minValue="3" maxValue="19.899999999999999"/>
    </cacheField>
    <cacheField name="Budget (£)" numFmtId="0">
      <sharedItems containsSemiMixedTypes="0" containsString="0" containsNumber="1" containsInteger="1" minValue="511770" maxValue="2496711"/>
    </cacheField>
    <cacheField name="Staff Count" numFmtId="0">
      <sharedItems containsSemiMixedTypes="0" containsString="0" containsNumber="1" containsInteger="1" minValue="31" maxValue="199"/>
    </cacheField>
    <cacheField name="Public Satisfaction (%)" numFmtId="0">
      <sharedItems containsSemiMixedTypes="0" containsString="0" containsNumber="1" containsInteger="1" minValue="61" maxValue="99"/>
    </cacheField>
    <cacheField name="Response Time Group" numFmtId="0">
      <sharedItems/>
    </cacheField>
    <cacheField name="Caseload Group"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n v="2020"/>
    <x v="0"/>
    <n v="152"/>
    <n v="152"/>
    <x v="0"/>
    <n v="11.7"/>
    <n v="1050645"/>
    <x v="0"/>
    <n v="98"/>
    <s v="11-15"/>
    <s v="0-200"/>
  </r>
  <r>
    <x v="0"/>
    <x v="1"/>
    <n v="2020"/>
    <x v="1"/>
    <n v="273"/>
    <n v="273"/>
    <x v="0"/>
    <n v="3.1"/>
    <n v="995635"/>
    <x v="1"/>
    <n v="93"/>
    <s v="0-5"/>
    <s v="201-400"/>
  </r>
  <r>
    <x v="0"/>
    <x v="2"/>
    <n v="2024"/>
    <x v="2"/>
    <n v="708"/>
    <n v="541"/>
    <x v="1"/>
    <n v="16.600000000000001"/>
    <n v="2051827"/>
    <x v="2"/>
    <n v="71"/>
    <s v="16-20"/>
    <s v="601-800"/>
  </r>
  <r>
    <x v="1"/>
    <x v="3"/>
    <n v="2020"/>
    <x v="3"/>
    <n v="716"/>
    <n v="97"/>
    <x v="2"/>
    <n v="7.9"/>
    <n v="1716124"/>
    <x v="3"/>
    <n v="75"/>
    <s v="6-10"/>
    <s v="601-800"/>
  </r>
  <r>
    <x v="0"/>
    <x v="4"/>
    <n v="2022"/>
    <x v="4"/>
    <n v="949"/>
    <n v="132"/>
    <x v="3"/>
    <n v="9"/>
    <n v="1235791"/>
    <x v="4"/>
    <n v="62"/>
    <s v="6-10"/>
    <s v="801-1000"/>
  </r>
  <r>
    <x v="1"/>
    <x v="5"/>
    <n v="2018"/>
    <x v="5"/>
    <n v="373"/>
    <n v="373"/>
    <x v="0"/>
    <n v="15.5"/>
    <n v="1913863"/>
    <x v="5"/>
    <n v="74"/>
    <s v="16-20"/>
    <s v="201-400"/>
  </r>
  <r>
    <x v="1"/>
    <x v="6"/>
    <n v="2024"/>
    <x v="6"/>
    <n v="646"/>
    <n v="80"/>
    <x v="4"/>
    <n v="10.5"/>
    <n v="794512"/>
    <x v="6"/>
    <n v="97"/>
    <s v="11-15"/>
    <s v="601-800"/>
  </r>
  <r>
    <x v="1"/>
    <x v="7"/>
    <n v="2020"/>
    <x v="6"/>
    <n v="654"/>
    <n v="654"/>
    <x v="0"/>
    <n v="11"/>
    <n v="598179"/>
    <x v="7"/>
    <n v="98"/>
    <s v="11-15"/>
    <s v="601-800"/>
  </r>
  <r>
    <x v="1"/>
    <x v="8"/>
    <n v="2024"/>
    <x v="0"/>
    <n v="583"/>
    <n v="465"/>
    <x v="5"/>
    <n v="17.100000000000001"/>
    <n v="1784103"/>
    <x v="8"/>
    <n v="91"/>
    <s v="16-20"/>
    <s v="401-600"/>
  </r>
  <r>
    <x v="0"/>
    <x v="1"/>
    <n v="2024"/>
    <x v="3"/>
    <n v="787"/>
    <n v="295"/>
    <x v="6"/>
    <n v="18.100000000000001"/>
    <n v="638298"/>
    <x v="9"/>
    <n v="77"/>
    <s v="16-20"/>
    <s v="601-800"/>
  </r>
  <r>
    <x v="1"/>
    <x v="2"/>
    <n v="2020"/>
    <x v="0"/>
    <n v="272"/>
    <n v="272"/>
    <x v="0"/>
    <n v="7.2"/>
    <n v="914553"/>
    <x v="10"/>
    <n v="94"/>
    <s v="6-10"/>
    <s v="201-400"/>
  </r>
  <r>
    <x v="1"/>
    <x v="9"/>
    <n v="2023"/>
    <x v="3"/>
    <n v="503"/>
    <n v="503"/>
    <x v="0"/>
    <n v="6.3"/>
    <n v="1894138"/>
    <x v="11"/>
    <n v="64"/>
    <s v="6-10"/>
    <s v="401-600"/>
  </r>
  <r>
    <x v="0"/>
    <x v="5"/>
    <n v="2020"/>
    <x v="1"/>
    <n v="896"/>
    <n v="424"/>
    <x v="7"/>
    <n v="17.2"/>
    <n v="646940"/>
    <x v="12"/>
    <n v="69"/>
    <s v="16-20"/>
    <s v="801-1000"/>
  </r>
  <r>
    <x v="1"/>
    <x v="9"/>
    <n v="2021"/>
    <x v="3"/>
    <n v="612"/>
    <n v="104"/>
    <x v="8"/>
    <n v="16.3"/>
    <n v="1953890"/>
    <x v="13"/>
    <n v="67"/>
    <s v="16-20"/>
    <s v="601-800"/>
  </r>
  <r>
    <x v="0"/>
    <x v="10"/>
    <n v="2019"/>
    <x v="6"/>
    <n v="378"/>
    <n v="151"/>
    <x v="9"/>
    <n v="11.5"/>
    <n v="2343950"/>
    <x v="14"/>
    <n v="94"/>
    <s v="11-15"/>
    <s v="201-400"/>
  </r>
  <r>
    <x v="1"/>
    <x v="5"/>
    <n v="2020"/>
    <x v="4"/>
    <n v="819"/>
    <n v="145"/>
    <x v="10"/>
    <n v="17.7"/>
    <n v="942193"/>
    <x v="15"/>
    <n v="64"/>
    <s v="16-20"/>
    <s v="801-1000"/>
  </r>
  <r>
    <x v="1"/>
    <x v="8"/>
    <n v="2022"/>
    <x v="5"/>
    <n v="343"/>
    <n v="228"/>
    <x v="11"/>
    <n v="8.3000000000000007"/>
    <n v="1987198"/>
    <x v="16"/>
    <n v="93"/>
    <s v="6-10"/>
    <s v="201-400"/>
  </r>
  <r>
    <x v="1"/>
    <x v="1"/>
    <n v="2021"/>
    <x v="4"/>
    <n v="203"/>
    <n v="153"/>
    <x v="12"/>
    <n v="19.100000000000001"/>
    <n v="2496711"/>
    <x v="17"/>
    <n v="68"/>
    <s v="16-20"/>
    <s v="201-400"/>
  </r>
  <r>
    <x v="1"/>
    <x v="9"/>
    <n v="2023"/>
    <x v="2"/>
    <n v="961"/>
    <n v="239"/>
    <x v="13"/>
    <n v="12"/>
    <n v="577536"/>
    <x v="18"/>
    <n v="73"/>
    <s v="11-15"/>
    <s v="801-1000"/>
  </r>
  <r>
    <x v="1"/>
    <x v="11"/>
    <n v="2018"/>
    <x v="0"/>
    <n v="355"/>
    <n v="355"/>
    <x v="0"/>
    <n v="17.3"/>
    <n v="1457685"/>
    <x v="19"/>
    <n v="82"/>
    <s v="16-20"/>
    <s v="201-400"/>
  </r>
  <r>
    <x v="1"/>
    <x v="1"/>
    <n v="2024"/>
    <x v="6"/>
    <n v="304"/>
    <n v="304"/>
    <x v="0"/>
    <n v="12.1"/>
    <n v="2083742"/>
    <x v="20"/>
    <n v="81"/>
    <s v="11-15"/>
    <s v="201-400"/>
  </r>
  <r>
    <x v="0"/>
    <x v="8"/>
    <n v="2022"/>
    <x v="1"/>
    <n v="368"/>
    <n v="368"/>
    <x v="0"/>
    <n v="11.9"/>
    <n v="1373361"/>
    <x v="21"/>
    <n v="78"/>
    <s v="11-15"/>
    <s v="201-400"/>
  </r>
  <r>
    <x v="0"/>
    <x v="5"/>
    <n v="2018"/>
    <x v="2"/>
    <n v="278"/>
    <n v="105"/>
    <x v="14"/>
    <n v="10.5"/>
    <n v="2043881"/>
    <x v="17"/>
    <n v="67"/>
    <s v="11-15"/>
    <s v="201-400"/>
  </r>
  <r>
    <x v="1"/>
    <x v="10"/>
    <n v="2022"/>
    <x v="5"/>
    <n v="294"/>
    <n v="294"/>
    <x v="0"/>
    <n v="7.3"/>
    <n v="1723430"/>
    <x v="22"/>
    <n v="65"/>
    <s v="6-10"/>
    <s v="201-400"/>
  </r>
  <r>
    <x v="0"/>
    <x v="1"/>
    <n v="2024"/>
    <x v="3"/>
    <n v="193"/>
    <n v="193"/>
    <x v="0"/>
    <n v="8.3000000000000007"/>
    <n v="1684448"/>
    <x v="23"/>
    <n v="87"/>
    <s v="6-10"/>
    <s v="0-200"/>
  </r>
  <r>
    <x v="1"/>
    <x v="8"/>
    <n v="2023"/>
    <x v="6"/>
    <n v="229"/>
    <n v="229"/>
    <x v="0"/>
    <n v="9"/>
    <n v="670643"/>
    <x v="24"/>
    <n v="81"/>
    <s v="6-10"/>
    <s v="201-400"/>
  </r>
  <r>
    <x v="0"/>
    <x v="3"/>
    <n v="2021"/>
    <x v="1"/>
    <n v="338"/>
    <n v="109"/>
    <x v="15"/>
    <n v="3.3"/>
    <n v="753279"/>
    <x v="25"/>
    <n v="78"/>
    <s v="0-5"/>
    <s v="201-400"/>
  </r>
  <r>
    <x v="0"/>
    <x v="10"/>
    <n v="2022"/>
    <x v="2"/>
    <n v="754"/>
    <n v="86"/>
    <x v="16"/>
    <n v="8"/>
    <n v="1150408"/>
    <x v="26"/>
    <n v="81"/>
    <s v="6-10"/>
    <s v="601-800"/>
  </r>
  <r>
    <x v="0"/>
    <x v="2"/>
    <n v="2021"/>
    <x v="3"/>
    <n v="624"/>
    <n v="89"/>
    <x v="17"/>
    <n v="3.8"/>
    <n v="1193310"/>
    <x v="27"/>
    <n v="98"/>
    <s v="0-5"/>
    <s v="601-800"/>
  </r>
  <r>
    <x v="1"/>
    <x v="10"/>
    <n v="2018"/>
    <x v="0"/>
    <n v="270"/>
    <n v="270"/>
    <x v="0"/>
    <n v="19.3"/>
    <n v="1135651"/>
    <x v="11"/>
    <n v="75"/>
    <s v="16-20"/>
    <s v="201-400"/>
  </r>
  <r>
    <x v="0"/>
    <x v="2"/>
    <n v="2022"/>
    <x v="5"/>
    <n v="421"/>
    <n v="325"/>
    <x v="18"/>
    <n v="13.4"/>
    <n v="2163263"/>
    <x v="28"/>
    <n v="91"/>
    <s v="11-15"/>
    <s v="401-600"/>
  </r>
  <r>
    <x v="0"/>
    <x v="5"/>
    <n v="2024"/>
    <x v="3"/>
    <n v="269"/>
    <n v="224"/>
    <x v="19"/>
    <n v="8.9"/>
    <n v="1810091"/>
    <x v="21"/>
    <n v="82"/>
    <s v="6-10"/>
    <s v="201-400"/>
  </r>
  <r>
    <x v="1"/>
    <x v="10"/>
    <n v="2020"/>
    <x v="6"/>
    <n v="926"/>
    <n v="437"/>
    <x v="20"/>
    <n v="4.3"/>
    <n v="636733"/>
    <x v="29"/>
    <n v="98"/>
    <s v="0-5"/>
    <s v="801-1000"/>
  </r>
  <r>
    <x v="1"/>
    <x v="3"/>
    <n v="2021"/>
    <x v="2"/>
    <n v="208"/>
    <n v="208"/>
    <x v="0"/>
    <n v="6.8"/>
    <n v="739258"/>
    <x v="30"/>
    <n v="72"/>
    <s v="6-10"/>
    <s v="201-400"/>
  </r>
  <r>
    <x v="1"/>
    <x v="4"/>
    <n v="2022"/>
    <x v="5"/>
    <n v="855"/>
    <n v="649"/>
    <x v="21"/>
    <n v="17.3"/>
    <n v="1813579"/>
    <x v="31"/>
    <n v="65"/>
    <s v="16-20"/>
    <s v="801-1000"/>
  </r>
  <r>
    <x v="1"/>
    <x v="11"/>
    <n v="2024"/>
    <x v="5"/>
    <n v="780"/>
    <n v="780"/>
    <x v="0"/>
    <n v="16.600000000000001"/>
    <n v="1703128"/>
    <x v="32"/>
    <n v="70"/>
    <s v="16-20"/>
    <s v="601-800"/>
  </r>
  <r>
    <x v="1"/>
    <x v="5"/>
    <n v="2023"/>
    <x v="0"/>
    <n v="771"/>
    <n v="771"/>
    <x v="0"/>
    <n v="6.3"/>
    <n v="979153"/>
    <x v="33"/>
    <n v="66"/>
    <s v="6-10"/>
    <s v="601-800"/>
  </r>
  <r>
    <x v="1"/>
    <x v="9"/>
    <n v="2018"/>
    <x v="1"/>
    <n v="107"/>
    <n v="53"/>
    <x v="22"/>
    <n v="17.100000000000001"/>
    <n v="1085385"/>
    <x v="34"/>
    <n v="94"/>
    <s v="16-20"/>
    <s v="0-200"/>
  </r>
  <r>
    <x v="0"/>
    <x v="6"/>
    <n v="2020"/>
    <x v="6"/>
    <n v="151"/>
    <n v="151"/>
    <x v="0"/>
    <n v="19"/>
    <n v="993438"/>
    <x v="35"/>
    <n v="88"/>
    <s v="16-20"/>
    <s v="0-200"/>
  </r>
  <r>
    <x v="0"/>
    <x v="9"/>
    <n v="2021"/>
    <x v="2"/>
    <n v="845"/>
    <n v="691"/>
    <x v="23"/>
    <n v="15"/>
    <n v="1454509"/>
    <x v="36"/>
    <n v="70"/>
    <s v="16-20"/>
    <s v="801-1000"/>
  </r>
  <r>
    <x v="0"/>
    <x v="5"/>
    <n v="2021"/>
    <x v="5"/>
    <n v="850"/>
    <n v="850"/>
    <x v="0"/>
    <n v="3.1"/>
    <n v="861650"/>
    <x v="37"/>
    <n v="78"/>
    <s v="0-5"/>
    <s v="801-1000"/>
  </r>
  <r>
    <x v="1"/>
    <x v="9"/>
    <n v="2021"/>
    <x v="0"/>
    <n v="966"/>
    <n v="686"/>
    <x v="24"/>
    <n v="17.7"/>
    <n v="858402"/>
    <x v="15"/>
    <n v="64"/>
    <s v="16-20"/>
    <s v="801-1000"/>
  </r>
  <r>
    <x v="0"/>
    <x v="1"/>
    <n v="2022"/>
    <x v="6"/>
    <n v="879"/>
    <n v="663"/>
    <x v="25"/>
    <n v="4.3"/>
    <n v="1473688"/>
    <x v="38"/>
    <n v="86"/>
    <s v="0-5"/>
    <s v="801-1000"/>
  </r>
  <r>
    <x v="1"/>
    <x v="4"/>
    <n v="2022"/>
    <x v="5"/>
    <n v="662"/>
    <n v="166"/>
    <x v="26"/>
    <n v="14.8"/>
    <n v="906513"/>
    <x v="14"/>
    <n v="75"/>
    <s v="11-15"/>
    <s v="601-800"/>
  </r>
  <r>
    <x v="1"/>
    <x v="8"/>
    <n v="2020"/>
    <x v="3"/>
    <n v="624"/>
    <n v="419"/>
    <x v="27"/>
    <n v="8.8000000000000007"/>
    <n v="2053334"/>
    <x v="39"/>
    <n v="93"/>
    <s v="6-10"/>
    <s v="601-800"/>
  </r>
  <r>
    <x v="0"/>
    <x v="0"/>
    <n v="2022"/>
    <x v="6"/>
    <n v="542"/>
    <n v="173"/>
    <x v="28"/>
    <n v="15"/>
    <n v="1901077"/>
    <x v="40"/>
    <n v="85"/>
    <s v="16-20"/>
    <s v="401-600"/>
  </r>
  <r>
    <x v="0"/>
    <x v="3"/>
    <n v="2021"/>
    <x v="5"/>
    <n v="676"/>
    <n v="676"/>
    <x v="0"/>
    <n v="12.7"/>
    <n v="1405511"/>
    <x v="41"/>
    <n v="69"/>
    <s v="11-15"/>
    <s v="601-800"/>
  </r>
  <r>
    <x v="0"/>
    <x v="10"/>
    <n v="2023"/>
    <x v="5"/>
    <n v="114"/>
    <n v="114"/>
    <x v="0"/>
    <n v="12.2"/>
    <n v="1558371"/>
    <x v="42"/>
    <n v="86"/>
    <s v="11-15"/>
    <s v="0-200"/>
  </r>
  <r>
    <x v="0"/>
    <x v="2"/>
    <n v="2022"/>
    <x v="1"/>
    <n v="567"/>
    <n v="303"/>
    <x v="29"/>
    <n v="4.2"/>
    <n v="1001580"/>
    <x v="43"/>
    <n v="83"/>
    <s v="0-5"/>
    <s v="401-600"/>
  </r>
  <r>
    <x v="0"/>
    <x v="2"/>
    <n v="2023"/>
    <x v="5"/>
    <n v="106"/>
    <n v="106"/>
    <x v="0"/>
    <n v="16.100000000000001"/>
    <n v="1962609"/>
    <x v="44"/>
    <n v="86"/>
    <s v="16-20"/>
    <s v="0-200"/>
  </r>
  <r>
    <x v="1"/>
    <x v="8"/>
    <n v="2018"/>
    <x v="1"/>
    <n v="284"/>
    <n v="284"/>
    <x v="0"/>
    <n v="8.1999999999999993"/>
    <n v="1146606"/>
    <x v="20"/>
    <n v="97"/>
    <s v="6-10"/>
    <s v="201-400"/>
  </r>
  <r>
    <x v="0"/>
    <x v="5"/>
    <n v="2020"/>
    <x v="6"/>
    <n v="798"/>
    <n v="702"/>
    <x v="30"/>
    <n v="3.1"/>
    <n v="1730929"/>
    <x v="37"/>
    <n v="71"/>
    <s v="0-5"/>
    <s v="601-800"/>
  </r>
  <r>
    <x v="1"/>
    <x v="3"/>
    <n v="2024"/>
    <x v="5"/>
    <n v="869"/>
    <n v="466"/>
    <x v="31"/>
    <n v="11.5"/>
    <n v="1511149"/>
    <x v="45"/>
    <n v="62"/>
    <s v="11-15"/>
    <s v="801-1000"/>
  </r>
  <r>
    <x v="0"/>
    <x v="11"/>
    <n v="2022"/>
    <x v="1"/>
    <n v="822"/>
    <n v="200"/>
    <x v="32"/>
    <n v="5.2"/>
    <n v="1814415"/>
    <x v="46"/>
    <n v="82"/>
    <s v="6-10"/>
    <s v="801-1000"/>
  </r>
  <r>
    <x v="0"/>
    <x v="3"/>
    <n v="2018"/>
    <x v="3"/>
    <n v="812"/>
    <n v="781"/>
    <x v="33"/>
    <n v="19.3"/>
    <n v="2472849"/>
    <x v="47"/>
    <n v="81"/>
    <s v="16-20"/>
    <s v="801-1000"/>
  </r>
  <r>
    <x v="0"/>
    <x v="4"/>
    <n v="2023"/>
    <x v="0"/>
    <n v="966"/>
    <n v="369"/>
    <x v="34"/>
    <n v="19.399999999999999"/>
    <n v="810382"/>
    <x v="15"/>
    <n v="70"/>
    <s v="16-20"/>
    <s v="801-1000"/>
  </r>
  <r>
    <x v="0"/>
    <x v="8"/>
    <n v="2020"/>
    <x v="0"/>
    <n v="177"/>
    <n v="81"/>
    <x v="35"/>
    <n v="9"/>
    <n v="1814883"/>
    <x v="38"/>
    <n v="88"/>
    <s v="6-10"/>
    <s v="0-200"/>
  </r>
  <r>
    <x v="1"/>
    <x v="0"/>
    <n v="2021"/>
    <x v="5"/>
    <n v="551"/>
    <n v="551"/>
    <x v="0"/>
    <n v="19.600000000000001"/>
    <n v="1280791"/>
    <x v="48"/>
    <n v="99"/>
    <s v="16-20"/>
    <s v="401-600"/>
  </r>
  <r>
    <x v="1"/>
    <x v="5"/>
    <n v="2019"/>
    <x v="2"/>
    <n v="844"/>
    <n v="655"/>
    <x v="36"/>
    <n v="19.899999999999999"/>
    <n v="731974"/>
    <x v="26"/>
    <n v="63"/>
    <s v="16-20"/>
    <s v="801-1000"/>
  </r>
  <r>
    <x v="1"/>
    <x v="11"/>
    <n v="2020"/>
    <x v="4"/>
    <n v="964"/>
    <n v="759"/>
    <x v="37"/>
    <n v="3"/>
    <n v="1891357"/>
    <x v="49"/>
    <n v="76"/>
    <s v="0-5"/>
    <s v="801-1000"/>
  </r>
  <r>
    <x v="1"/>
    <x v="8"/>
    <n v="2021"/>
    <x v="2"/>
    <n v="799"/>
    <n v="608"/>
    <x v="38"/>
    <n v="9.1999999999999993"/>
    <n v="1970495"/>
    <x v="50"/>
    <n v="87"/>
    <s v="6-10"/>
    <s v="601-800"/>
  </r>
  <r>
    <x v="0"/>
    <x v="5"/>
    <n v="2018"/>
    <x v="3"/>
    <n v="550"/>
    <n v="550"/>
    <x v="0"/>
    <n v="7.2"/>
    <n v="853184"/>
    <x v="51"/>
    <n v="67"/>
    <s v="6-10"/>
    <s v="401-600"/>
  </r>
  <r>
    <x v="1"/>
    <x v="7"/>
    <n v="2020"/>
    <x v="0"/>
    <n v="355"/>
    <n v="221"/>
    <x v="39"/>
    <n v="10"/>
    <n v="2213736"/>
    <x v="38"/>
    <n v="70"/>
    <s v="11-15"/>
    <s v="201-400"/>
  </r>
  <r>
    <x v="1"/>
    <x v="6"/>
    <n v="2024"/>
    <x v="1"/>
    <n v="961"/>
    <n v="265"/>
    <x v="40"/>
    <n v="6"/>
    <n v="2353760"/>
    <x v="52"/>
    <n v="94"/>
    <s v="6-10"/>
    <s v="801-1000"/>
  </r>
  <r>
    <x v="0"/>
    <x v="7"/>
    <n v="2022"/>
    <x v="3"/>
    <n v="216"/>
    <n v="216"/>
    <x v="0"/>
    <n v="16.2"/>
    <n v="560724"/>
    <x v="53"/>
    <n v="72"/>
    <s v="16-20"/>
    <s v="201-400"/>
  </r>
  <r>
    <x v="0"/>
    <x v="4"/>
    <n v="2022"/>
    <x v="6"/>
    <n v="194"/>
    <n v="194"/>
    <x v="0"/>
    <n v="13"/>
    <n v="1176212"/>
    <x v="54"/>
    <n v="99"/>
    <s v="11-15"/>
    <s v="0-200"/>
  </r>
  <r>
    <x v="0"/>
    <x v="10"/>
    <n v="2019"/>
    <x v="5"/>
    <n v="673"/>
    <n v="72"/>
    <x v="41"/>
    <n v="19.899999999999999"/>
    <n v="2121182"/>
    <x v="6"/>
    <n v="70"/>
    <s v="16-20"/>
    <s v="601-800"/>
  </r>
  <r>
    <x v="1"/>
    <x v="5"/>
    <n v="2020"/>
    <x v="1"/>
    <n v="297"/>
    <n v="297"/>
    <x v="0"/>
    <n v="5"/>
    <n v="1665783"/>
    <x v="55"/>
    <n v="80"/>
    <s v="6-10"/>
    <s v="201-400"/>
  </r>
  <r>
    <x v="0"/>
    <x v="8"/>
    <n v="2022"/>
    <x v="1"/>
    <n v="709"/>
    <n v="371"/>
    <x v="42"/>
    <n v="9.3000000000000007"/>
    <n v="1679416"/>
    <x v="8"/>
    <n v="99"/>
    <s v="6-10"/>
    <s v="601-800"/>
  </r>
  <r>
    <x v="1"/>
    <x v="10"/>
    <n v="2018"/>
    <x v="6"/>
    <n v="262"/>
    <n v="262"/>
    <x v="0"/>
    <n v="6.9"/>
    <n v="1498822"/>
    <x v="56"/>
    <n v="97"/>
    <s v="6-10"/>
    <s v="201-400"/>
  </r>
  <r>
    <x v="0"/>
    <x v="0"/>
    <n v="2018"/>
    <x v="6"/>
    <n v="294"/>
    <n v="294"/>
    <x v="0"/>
    <n v="9.4"/>
    <n v="801207"/>
    <x v="57"/>
    <n v="76"/>
    <s v="6-10"/>
    <s v="201-400"/>
  </r>
  <r>
    <x v="0"/>
    <x v="11"/>
    <n v="2023"/>
    <x v="4"/>
    <n v="141"/>
    <n v="141"/>
    <x v="0"/>
    <n v="13.5"/>
    <n v="2485898"/>
    <x v="58"/>
    <n v="94"/>
    <s v="11-15"/>
    <s v="0-200"/>
  </r>
  <r>
    <x v="0"/>
    <x v="4"/>
    <n v="2022"/>
    <x v="0"/>
    <n v="124"/>
    <n v="79"/>
    <x v="43"/>
    <n v="19.899999999999999"/>
    <n v="772022"/>
    <x v="9"/>
    <n v="98"/>
    <s v="16-20"/>
    <s v="0-200"/>
  </r>
  <r>
    <x v="1"/>
    <x v="2"/>
    <n v="2021"/>
    <x v="5"/>
    <n v="407"/>
    <n v="407"/>
    <x v="0"/>
    <n v="8.8000000000000007"/>
    <n v="2024904"/>
    <x v="59"/>
    <n v="81"/>
    <s v="6-10"/>
    <s v="401-600"/>
  </r>
  <r>
    <x v="1"/>
    <x v="4"/>
    <n v="2018"/>
    <x v="6"/>
    <n v="939"/>
    <n v="751"/>
    <x v="44"/>
    <n v="9.1"/>
    <n v="2395283"/>
    <x v="60"/>
    <n v="80"/>
    <s v="6-10"/>
    <s v="801-1000"/>
  </r>
  <r>
    <x v="0"/>
    <x v="6"/>
    <n v="2018"/>
    <x v="5"/>
    <n v="678"/>
    <n v="430"/>
    <x v="45"/>
    <n v="11.5"/>
    <n v="1230458"/>
    <x v="61"/>
    <n v="63"/>
    <s v="11-15"/>
    <s v="601-800"/>
  </r>
  <r>
    <x v="1"/>
    <x v="3"/>
    <n v="2023"/>
    <x v="4"/>
    <n v="989"/>
    <n v="91"/>
    <x v="46"/>
    <n v="18.2"/>
    <n v="2014177"/>
    <x v="47"/>
    <n v="92"/>
    <s v="16-20"/>
    <s v="801-1000"/>
  </r>
  <r>
    <x v="1"/>
    <x v="5"/>
    <n v="2024"/>
    <x v="5"/>
    <n v="881"/>
    <n v="325"/>
    <x v="47"/>
    <n v="11"/>
    <n v="1102844"/>
    <x v="62"/>
    <n v="83"/>
    <s v="11-15"/>
    <s v="801-1000"/>
  </r>
  <r>
    <x v="1"/>
    <x v="1"/>
    <n v="2021"/>
    <x v="3"/>
    <n v="113"/>
    <n v="113"/>
    <x v="0"/>
    <n v="9.1999999999999993"/>
    <n v="1943470"/>
    <x v="63"/>
    <n v="93"/>
    <s v="6-10"/>
    <s v="0-200"/>
  </r>
  <r>
    <x v="1"/>
    <x v="7"/>
    <n v="2019"/>
    <x v="5"/>
    <n v="443"/>
    <n v="443"/>
    <x v="0"/>
    <n v="5.9"/>
    <n v="1528422"/>
    <x v="64"/>
    <n v="62"/>
    <s v="6-10"/>
    <s v="401-600"/>
  </r>
  <r>
    <x v="0"/>
    <x v="8"/>
    <n v="2019"/>
    <x v="6"/>
    <n v="391"/>
    <n v="328"/>
    <x v="48"/>
    <n v="7.3"/>
    <n v="756601"/>
    <x v="65"/>
    <n v="92"/>
    <s v="6-10"/>
    <s v="201-400"/>
  </r>
  <r>
    <x v="0"/>
    <x v="1"/>
    <n v="2019"/>
    <x v="3"/>
    <n v="455"/>
    <n v="455"/>
    <x v="0"/>
    <n v="19.399999999999999"/>
    <n v="1976097"/>
    <x v="64"/>
    <n v="97"/>
    <s v="16-20"/>
    <s v="401-600"/>
  </r>
  <r>
    <x v="0"/>
    <x v="4"/>
    <n v="2024"/>
    <x v="3"/>
    <n v="997"/>
    <n v="358"/>
    <x v="49"/>
    <n v="6.1"/>
    <n v="2376485"/>
    <x v="24"/>
    <n v="74"/>
    <s v="6-10"/>
    <s v="801-1000"/>
  </r>
  <r>
    <x v="1"/>
    <x v="2"/>
    <n v="2019"/>
    <x v="1"/>
    <n v="189"/>
    <n v="189"/>
    <x v="0"/>
    <n v="5"/>
    <n v="816666"/>
    <x v="1"/>
    <n v="86"/>
    <s v="6-10"/>
    <s v="0-200"/>
  </r>
  <r>
    <x v="1"/>
    <x v="2"/>
    <n v="2020"/>
    <x v="3"/>
    <n v="883"/>
    <n v="158"/>
    <x v="50"/>
    <n v="7.5"/>
    <n v="1683422"/>
    <x v="64"/>
    <n v="83"/>
    <s v="6-10"/>
    <s v="801-1000"/>
  </r>
  <r>
    <x v="1"/>
    <x v="7"/>
    <n v="2022"/>
    <x v="4"/>
    <n v="202"/>
    <n v="202"/>
    <x v="0"/>
    <n v="4.0999999999999996"/>
    <n v="817129"/>
    <x v="66"/>
    <n v="78"/>
    <s v="0-5"/>
    <s v="201-400"/>
  </r>
  <r>
    <x v="1"/>
    <x v="4"/>
    <n v="2019"/>
    <x v="3"/>
    <n v="401"/>
    <n v="401"/>
    <x v="0"/>
    <n v="4.0999999999999996"/>
    <n v="1247068"/>
    <x v="67"/>
    <n v="75"/>
    <s v="0-5"/>
    <s v="401-600"/>
  </r>
  <r>
    <x v="1"/>
    <x v="3"/>
    <n v="2019"/>
    <x v="2"/>
    <n v="600"/>
    <n v="227"/>
    <x v="51"/>
    <n v="3.1"/>
    <n v="2362675"/>
    <x v="63"/>
    <n v="65"/>
    <s v="0-5"/>
    <s v="601-800"/>
  </r>
  <r>
    <x v="1"/>
    <x v="11"/>
    <n v="2019"/>
    <x v="1"/>
    <n v="123"/>
    <n v="123"/>
    <x v="0"/>
    <n v="18"/>
    <n v="1089878"/>
    <x v="34"/>
    <n v="70"/>
    <s v="16-20"/>
    <s v="0-200"/>
  </r>
  <r>
    <x v="0"/>
    <x v="4"/>
    <n v="2021"/>
    <x v="6"/>
    <n v="526"/>
    <n v="495"/>
    <x v="52"/>
    <n v="16"/>
    <n v="1256584"/>
    <x v="68"/>
    <n v="78"/>
    <s v="16-20"/>
    <s v="401-600"/>
  </r>
  <r>
    <x v="1"/>
    <x v="7"/>
    <n v="2024"/>
    <x v="2"/>
    <n v="225"/>
    <n v="225"/>
    <x v="0"/>
    <n v="7.7"/>
    <n v="582124"/>
    <x v="69"/>
    <n v="91"/>
    <s v="6-10"/>
    <s v="201-400"/>
  </r>
  <r>
    <x v="1"/>
    <x v="4"/>
    <n v="2024"/>
    <x v="6"/>
    <n v="429"/>
    <n v="422"/>
    <x v="53"/>
    <n v="9.5"/>
    <n v="537208"/>
    <x v="62"/>
    <n v="83"/>
    <s v="6-10"/>
    <s v="401-600"/>
  </r>
  <r>
    <x v="1"/>
    <x v="9"/>
    <n v="2021"/>
    <x v="6"/>
    <n v="131"/>
    <n v="131"/>
    <x v="0"/>
    <n v="5.6"/>
    <n v="1617598"/>
    <x v="70"/>
    <n v="92"/>
    <s v="6-10"/>
    <s v="0-200"/>
  </r>
  <r>
    <x v="0"/>
    <x v="2"/>
    <n v="2018"/>
    <x v="3"/>
    <n v="503"/>
    <n v="503"/>
    <x v="0"/>
    <n v="4.5"/>
    <n v="1684704"/>
    <x v="71"/>
    <n v="83"/>
    <s v="0-5"/>
    <s v="401-600"/>
  </r>
  <r>
    <x v="0"/>
    <x v="8"/>
    <n v="2018"/>
    <x v="2"/>
    <n v="191"/>
    <n v="191"/>
    <x v="0"/>
    <n v="13.9"/>
    <n v="2056764"/>
    <x v="72"/>
    <n v="75"/>
    <s v="11-15"/>
    <s v="0-200"/>
  </r>
  <r>
    <x v="0"/>
    <x v="2"/>
    <n v="2023"/>
    <x v="3"/>
    <n v="229"/>
    <n v="229"/>
    <x v="0"/>
    <n v="5.9"/>
    <n v="837328"/>
    <x v="15"/>
    <n v="62"/>
    <s v="6-10"/>
    <s v="201-400"/>
  </r>
  <r>
    <x v="0"/>
    <x v="11"/>
    <n v="2019"/>
    <x v="0"/>
    <n v="324"/>
    <n v="324"/>
    <x v="0"/>
    <n v="8.9"/>
    <n v="511770"/>
    <x v="73"/>
    <n v="75"/>
    <s v="6-10"/>
    <s v="201-400"/>
  </r>
  <r>
    <x v="1"/>
    <x v="0"/>
    <n v="2018"/>
    <x v="6"/>
    <n v="565"/>
    <n v="565"/>
    <x v="0"/>
    <n v="16.8"/>
    <n v="1960762"/>
    <x v="23"/>
    <n v="79"/>
    <s v="16-20"/>
    <s v="401-600"/>
  </r>
  <r>
    <x v="1"/>
    <x v="4"/>
    <n v="2018"/>
    <x v="0"/>
    <n v="828"/>
    <n v="212"/>
    <x v="54"/>
    <n v="13"/>
    <n v="2410635"/>
    <x v="28"/>
    <n v="62"/>
    <s v="11-15"/>
    <s v="801-1000"/>
  </r>
  <r>
    <x v="1"/>
    <x v="9"/>
    <n v="2024"/>
    <x v="5"/>
    <n v="671"/>
    <n v="356"/>
    <x v="55"/>
    <n v="10.7"/>
    <n v="846937"/>
    <x v="73"/>
    <n v="94"/>
    <s v="11-15"/>
    <s v="601-800"/>
  </r>
  <r>
    <x v="0"/>
    <x v="2"/>
    <n v="2022"/>
    <x v="3"/>
    <n v="710"/>
    <n v="710"/>
    <x v="0"/>
    <n v="8"/>
    <n v="1942228"/>
    <x v="37"/>
    <n v="82"/>
    <s v="6-10"/>
    <s v="601-800"/>
  </r>
  <r>
    <x v="1"/>
    <x v="8"/>
    <n v="2018"/>
    <x v="0"/>
    <n v="257"/>
    <n v="257"/>
    <x v="0"/>
    <n v="4.9000000000000004"/>
    <n v="996782"/>
    <x v="74"/>
    <n v="77"/>
    <s v="0-5"/>
    <s v="201-400"/>
  </r>
  <r>
    <x v="0"/>
    <x v="3"/>
    <n v="2024"/>
    <x v="0"/>
    <n v="465"/>
    <n v="465"/>
    <x v="0"/>
    <n v="15.1"/>
    <n v="1423196"/>
    <x v="75"/>
    <n v="68"/>
    <s v="16-20"/>
    <s v="401-600"/>
  </r>
  <r>
    <x v="0"/>
    <x v="0"/>
    <n v="2022"/>
    <x v="5"/>
    <n v="322"/>
    <n v="322"/>
    <x v="0"/>
    <n v="12.6"/>
    <n v="1879492"/>
    <x v="22"/>
    <n v="89"/>
    <s v="11-15"/>
    <s v="201-400"/>
  </r>
  <r>
    <x v="1"/>
    <x v="2"/>
    <n v="2022"/>
    <x v="0"/>
    <n v="422"/>
    <n v="422"/>
    <x v="0"/>
    <n v="17.2"/>
    <n v="995843"/>
    <x v="55"/>
    <n v="97"/>
    <s v="16-20"/>
    <s v="401-600"/>
  </r>
  <r>
    <x v="1"/>
    <x v="9"/>
    <n v="2022"/>
    <x v="1"/>
    <n v="642"/>
    <n v="103"/>
    <x v="56"/>
    <n v="9.1"/>
    <n v="521631"/>
    <x v="1"/>
    <n v="98"/>
    <s v="6-10"/>
    <s v="601-800"/>
  </r>
  <r>
    <x v="0"/>
    <x v="8"/>
    <n v="2022"/>
    <x v="4"/>
    <n v="385"/>
    <n v="348"/>
    <x v="57"/>
    <n v="19.8"/>
    <n v="1712575"/>
    <x v="76"/>
    <n v="89"/>
    <s v="16-20"/>
    <s v="201-400"/>
  </r>
  <r>
    <x v="1"/>
    <x v="8"/>
    <n v="2020"/>
    <x v="2"/>
    <n v="162"/>
    <n v="85"/>
    <x v="58"/>
    <n v="10.6"/>
    <n v="727020"/>
    <x v="77"/>
    <n v="92"/>
    <s v="11-15"/>
    <s v="0-200"/>
  </r>
  <r>
    <x v="0"/>
    <x v="5"/>
    <n v="2024"/>
    <x v="3"/>
    <n v="946"/>
    <n v="104"/>
    <x v="59"/>
    <n v="18.2"/>
    <n v="2287216"/>
    <x v="78"/>
    <n v="61"/>
    <s v="16-20"/>
    <s v="801-1000"/>
  </r>
  <r>
    <x v="0"/>
    <x v="6"/>
    <n v="2021"/>
    <x v="3"/>
    <n v="825"/>
    <n v="597"/>
    <x v="60"/>
    <n v="10.7"/>
    <n v="617319"/>
    <x v="79"/>
    <n v="78"/>
    <s v="11-15"/>
    <s v="801-1000"/>
  </r>
  <r>
    <x v="1"/>
    <x v="2"/>
    <n v="2021"/>
    <x v="0"/>
    <n v="966"/>
    <n v="856"/>
    <x v="61"/>
    <n v="15.3"/>
    <n v="769162"/>
    <x v="80"/>
    <n v="82"/>
    <s v="16-20"/>
    <s v="801-1000"/>
  </r>
  <r>
    <x v="0"/>
    <x v="9"/>
    <n v="2022"/>
    <x v="4"/>
    <n v="365"/>
    <n v="365"/>
    <x v="0"/>
    <n v="18.600000000000001"/>
    <n v="760860"/>
    <x v="0"/>
    <n v="72"/>
    <s v="16-20"/>
    <s v="201-400"/>
  </r>
  <r>
    <x v="1"/>
    <x v="0"/>
    <n v="2023"/>
    <x v="4"/>
    <n v="187"/>
    <n v="187"/>
    <x v="0"/>
    <n v="3.3"/>
    <n v="1601663"/>
    <x v="81"/>
    <n v="79"/>
    <s v="0-5"/>
    <s v="0-200"/>
  </r>
  <r>
    <x v="0"/>
    <x v="5"/>
    <n v="2022"/>
    <x v="6"/>
    <n v="571"/>
    <n v="516"/>
    <x v="62"/>
    <n v="11.4"/>
    <n v="1213092"/>
    <x v="82"/>
    <n v="90"/>
    <s v="11-15"/>
    <s v="401-600"/>
  </r>
  <r>
    <x v="0"/>
    <x v="8"/>
    <n v="2021"/>
    <x v="3"/>
    <n v="907"/>
    <n v="575"/>
    <x v="63"/>
    <n v="16.600000000000001"/>
    <n v="1374498"/>
    <x v="83"/>
    <n v="68"/>
    <s v="16-20"/>
    <s v="801-1000"/>
  </r>
  <r>
    <x v="0"/>
    <x v="10"/>
    <n v="2020"/>
    <x v="4"/>
    <n v="912"/>
    <n v="692"/>
    <x v="64"/>
    <n v="16.899999999999999"/>
    <n v="974017"/>
    <x v="84"/>
    <n v="62"/>
    <s v="16-20"/>
    <s v="801-1000"/>
  </r>
  <r>
    <x v="0"/>
    <x v="0"/>
    <n v="2020"/>
    <x v="5"/>
    <n v="910"/>
    <n v="443"/>
    <x v="65"/>
    <n v="19.600000000000001"/>
    <n v="1283053"/>
    <x v="27"/>
    <n v="78"/>
    <s v="16-20"/>
    <s v="801-1000"/>
  </r>
  <r>
    <x v="0"/>
    <x v="4"/>
    <n v="2024"/>
    <x v="0"/>
    <n v="815"/>
    <n v="815"/>
    <x v="0"/>
    <n v="9.9"/>
    <n v="2273813"/>
    <x v="15"/>
    <n v="86"/>
    <s v="6-10"/>
    <s v="801-1000"/>
  </r>
  <r>
    <x v="0"/>
    <x v="7"/>
    <n v="2024"/>
    <x v="1"/>
    <n v="475"/>
    <n v="57"/>
    <x v="66"/>
    <n v="12.2"/>
    <n v="1433798"/>
    <x v="85"/>
    <n v="95"/>
    <s v="11-15"/>
    <s v="401-600"/>
  </r>
  <r>
    <x v="0"/>
    <x v="9"/>
    <n v="2019"/>
    <x v="2"/>
    <n v="832"/>
    <n v="87"/>
    <x v="67"/>
    <n v="5.5"/>
    <n v="2483796"/>
    <x v="31"/>
    <n v="80"/>
    <s v="6-10"/>
    <s v="801-1000"/>
  </r>
  <r>
    <x v="0"/>
    <x v="10"/>
    <n v="2020"/>
    <x v="6"/>
    <n v="610"/>
    <n v="170"/>
    <x v="68"/>
    <n v="12.4"/>
    <n v="1131552"/>
    <x v="79"/>
    <n v="89"/>
    <s v="11-15"/>
    <s v="601-800"/>
  </r>
  <r>
    <x v="0"/>
    <x v="9"/>
    <n v="2020"/>
    <x v="4"/>
    <n v="287"/>
    <n v="287"/>
    <x v="0"/>
    <n v="16.8"/>
    <n v="615003"/>
    <x v="20"/>
    <n v="81"/>
    <s v="16-20"/>
    <s v="201-400"/>
  </r>
  <r>
    <x v="0"/>
    <x v="9"/>
    <n v="2022"/>
    <x v="2"/>
    <n v="823"/>
    <n v="281"/>
    <x v="69"/>
    <n v="13"/>
    <n v="1358069"/>
    <x v="29"/>
    <n v="71"/>
    <s v="11-15"/>
    <s v="801-1000"/>
  </r>
  <r>
    <x v="0"/>
    <x v="3"/>
    <n v="2024"/>
    <x v="2"/>
    <n v="549"/>
    <n v="549"/>
    <x v="0"/>
    <n v="8.6999999999999993"/>
    <n v="998360"/>
    <x v="11"/>
    <n v="87"/>
    <s v="6-10"/>
    <s v="401-600"/>
  </r>
  <r>
    <x v="0"/>
    <x v="1"/>
    <n v="2023"/>
    <x v="0"/>
    <n v="858"/>
    <n v="505"/>
    <x v="70"/>
    <n v="5.0999999999999996"/>
    <n v="1031610"/>
    <x v="20"/>
    <n v="86"/>
    <s v="6-10"/>
    <s v="801-1000"/>
  </r>
  <r>
    <x v="0"/>
    <x v="0"/>
    <n v="2021"/>
    <x v="0"/>
    <n v="316"/>
    <n v="250"/>
    <x v="71"/>
    <n v="7.6"/>
    <n v="1142272"/>
    <x v="86"/>
    <n v="88"/>
    <s v="6-10"/>
    <s v="201-400"/>
  </r>
  <r>
    <x v="1"/>
    <x v="2"/>
    <n v="2022"/>
    <x v="6"/>
    <n v="326"/>
    <n v="326"/>
    <x v="0"/>
    <n v="4.7"/>
    <n v="1583423"/>
    <x v="74"/>
    <n v="94"/>
    <s v="0-5"/>
    <s v="201-400"/>
  </r>
  <r>
    <x v="1"/>
    <x v="7"/>
    <n v="2018"/>
    <x v="4"/>
    <n v="696"/>
    <n v="673"/>
    <x v="72"/>
    <n v="8.1999999999999993"/>
    <n v="1199659"/>
    <x v="87"/>
    <n v="97"/>
    <s v="6-10"/>
    <s v="601-800"/>
  </r>
  <r>
    <x v="0"/>
    <x v="1"/>
    <n v="2024"/>
    <x v="0"/>
    <n v="387"/>
    <n v="282"/>
    <x v="73"/>
    <n v="7.2"/>
    <n v="528793"/>
    <x v="88"/>
    <n v="78"/>
    <s v="6-10"/>
    <s v="201-400"/>
  </r>
  <r>
    <x v="0"/>
    <x v="9"/>
    <n v="2020"/>
    <x v="5"/>
    <n v="191"/>
    <n v="191"/>
    <x v="0"/>
    <n v="3"/>
    <n v="1377250"/>
    <x v="83"/>
    <n v="64"/>
    <s v="0-5"/>
    <s v="0-200"/>
  </r>
  <r>
    <x v="1"/>
    <x v="9"/>
    <n v="2023"/>
    <x v="6"/>
    <n v="903"/>
    <n v="579"/>
    <x v="74"/>
    <n v="18.5"/>
    <n v="1153765"/>
    <x v="57"/>
    <n v="65"/>
    <s v="16-20"/>
    <s v="801-1000"/>
  </r>
  <r>
    <x v="0"/>
    <x v="2"/>
    <n v="2023"/>
    <x v="0"/>
    <n v="209"/>
    <n v="209"/>
    <x v="0"/>
    <n v="6.3"/>
    <n v="1600559"/>
    <x v="57"/>
    <n v="76"/>
    <s v="6-10"/>
    <s v="201-400"/>
  </r>
  <r>
    <x v="0"/>
    <x v="9"/>
    <n v="2021"/>
    <x v="3"/>
    <n v="810"/>
    <n v="399"/>
    <x v="75"/>
    <n v="16.899999999999999"/>
    <n v="649358"/>
    <x v="49"/>
    <n v="68"/>
    <s v="16-20"/>
    <s v="801-1000"/>
  </r>
  <r>
    <x v="1"/>
    <x v="2"/>
    <n v="2019"/>
    <x v="0"/>
    <n v="171"/>
    <n v="171"/>
    <x v="0"/>
    <n v="4.2"/>
    <n v="2458521"/>
    <x v="89"/>
    <n v="74"/>
    <s v="0-5"/>
    <s v="0-200"/>
  </r>
  <r>
    <x v="0"/>
    <x v="3"/>
    <n v="2024"/>
    <x v="2"/>
    <n v="882"/>
    <n v="754"/>
    <x v="76"/>
    <n v="18.3"/>
    <n v="1832145"/>
    <x v="41"/>
    <n v="98"/>
    <s v="16-20"/>
    <s v="801-1000"/>
  </r>
  <r>
    <x v="0"/>
    <x v="1"/>
    <n v="2018"/>
    <x v="5"/>
    <n v="554"/>
    <n v="502"/>
    <x v="77"/>
    <n v="19.8"/>
    <n v="1825420"/>
    <x v="83"/>
    <n v="70"/>
    <s v="16-20"/>
    <s v="401-600"/>
  </r>
  <r>
    <x v="0"/>
    <x v="0"/>
    <n v="2022"/>
    <x v="2"/>
    <n v="131"/>
    <n v="131"/>
    <x v="0"/>
    <n v="13.6"/>
    <n v="530476"/>
    <x v="90"/>
    <n v="68"/>
    <s v="11-15"/>
    <s v="0-200"/>
  </r>
  <r>
    <x v="1"/>
    <x v="4"/>
    <n v="2019"/>
    <x v="0"/>
    <n v="460"/>
    <n v="460"/>
    <x v="0"/>
    <n v="7.5"/>
    <n v="2180110"/>
    <x v="91"/>
    <n v="79"/>
    <s v="6-10"/>
    <s v="401-600"/>
  </r>
  <r>
    <x v="0"/>
    <x v="1"/>
    <n v="2021"/>
    <x v="5"/>
    <n v="806"/>
    <n v="700"/>
    <x v="78"/>
    <n v="7.3"/>
    <n v="1104173"/>
    <x v="92"/>
    <n v="70"/>
    <s v="6-10"/>
    <s v="801-1000"/>
  </r>
  <r>
    <x v="0"/>
    <x v="1"/>
    <n v="2023"/>
    <x v="3"/>
    <n v="986"/>
    <n v="319"/>
    <x v="79"/>
    <n v="14.2"/>
    <n v="1335341"/>
    <x v="93"/>
    <n v="92"/>
    <s v="11-15"/>
    <s v="801-1000"/>
  </r>
  <r>
    <x v="0"/>
    <x v="3"/>
    <n v="2021"/>
    <x v="2"/>
    <n v="869"/>
    <n v="845"/>
    <x v="80"/>
    <n v="5.2"/>
    <n v="723052"/>
    <x v="62"/>
    <n v="75"/>
    <s v="6-10"/>
    <s v="801-1000"/>
  </r>
  <r>
    <x v="0"/>
    <x v="6"/>
    <n v="2020"/>
    <x v="5"/>
    <n v="802"/>
    <n v="634"/>
    <x v="81"/>
    <n v="9.6999999999999993"/>
    <n v="2278111"/>
    <x v="94"/>
    <n v="93"/>
    <s v="6-10"/>
    <s v="801-1000"/>
  </r>
  <r>
    <x v="1"/>
    <x v="11"/>
    <n v="2021"/>
    <x v="0"/>
    <n v="426"/>
    <n v="158"/>
    <x v="82"/>
    <n v="17.600000000000001"/>
    <n v="1235304"/>
    <x v="95"/>
    <n v="88"/>
    <s v="16-20"/>
    <s v="401-600"/>
  </r>
  <r>
    <x v="1"/>
    <x v="5"/>
    <n v="2023"/>
    <x v="1"/>
    <n v="511"/>
    <n v="484"/>
    <x v="83"/>
    <n v="5.9"/>
    <n v="1172712"/>
    <x v="3"/>
    <n v="70"/>
    <s v="6-10"/>
    <s v="401-600"/>
  </r>
  <r>
    <x v="0"/>
    <x v="11"/>
    <n v="2023"/>
    <x v="3"/>
    <n v="872"/>
    <n v="198"/>
    <x v="84"/>
    <n v="13.2"/>
    <n v="621867"/>
    <x v="96"/>
    <n v="66"/>
    <s v="11-15"/>
    <s v="801-1000"/>
  </r>
  <r>
    <x v="1"/>
    <x v="6"/>
    <n v="2018"/>
    <x v="6"/>
    <n v="366"/>
    <n v="207"/>
    <x v="85"/>
    <n v="13.7"/>
    <n v="1566073"/>
    <x v="15"/>
    <n v="99"/>
    <s v="11-15"/>
    <s v="201-400"/>
  </r>
  <r>
    <x v="1"/>
    <x v="3"/>
    <n v="2024"/>
    <x v="6"/>
    <n v="422"/>
    <n v="422"/>
    <x v="0"/>
    <n v="4.8"/>
    <n v="1559539"/>
    <x v="34"/>
    <n v="82"/>
    <s v="0-5"/>
    <s v="401-600"/>
  </r>
  <r>
    <x v="0"/>
    <x v="11"/>
    <n v="2023"/>
    <x v="5"/>
    <n v="375"/>
    <n v="52"/>
    <x v="86"/>
    <n v="8.5"/>
    <n v="663310"/>
    <x v="58"/>
    <n v="62"/>
    <s v="6-10"/>
    <s v="201-400"/>
  </r>
  <r>
    <x v="0"/>
    <x v="3"/>
    <n v="2020"/>
    <x v="4"/>
    <n v="406"/>
    <n v="406"/>
    <x v="0"/>
    <n v="7.6"/>
    <n v="590687"/>
    <x v="77"/>
    <n v="84"/>
    <s v="6-10"/>
    <s v="401-600"/>
  </r>
  <r>
    <x v="1"/>
    <x v="3"/>
    <n v="2018"/>
    <x v="2"/>
    <n v="826"/>
    <n v="636"/>
    <x v="87"/>
    <n v="3.2"/>
    <n v="2341623"/>
    <x v="37"/>
    <n v="76"/>
    <s v="0-5"/>
    <s v="801-1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n v="2020"/>
    <s v="Burglary"/>
    <n v="152"/>
    <n v="152"/>
    <n v="1"/>
    <n v="11.7"/>
    <n v="1050645"/>
    <n v="128"/>
    <n v="98"/>
    <s v="11-15"/>
    <s v="0-200"/>
  </r>
  <r>
    <x v="0"/>
    <x v="1"/>
    <n v="2020"/>
    <s v="Vandalism"/>
    <n v="273"/>
    <n v="273"/>
    <n v="1"/>
    <n v="3.1"/>
    <n v="995635"/>
    <n v="112"/>
    <n v="93"/>
    <s v="0-5"/>
    <s v="201-400"/>
  </r>
  <r>
    <x v="0"/>
    <x v="2"/>
    <n v="2024"/>
    <s v="Road Accident"/>
    <n v="708"/>
    <n v="541"/>
    <n v="0.76412429378531077"/>
    <n v="16.600000000000001"/>
    <n v="2051827"/>
    <n v="43"/>
    <n v="71"/>
    <s v="16-20"/>
    <s v="601-800"/>
  </r>
  <r>
    <x v="1"/>
    <x v="3"/>
    <n v="2020"/>
    <s v="Fire"/>
    <n v="716"/>
    <n v="97"/>
    <n v="0.13547486033519554"/>
    <n v="7.9"/>
    <n v="1716124"/>
    <n v="88"/>
    <n v="75"/>
    <s v="6-10"/>
    <s v="601-800"/>
  </r>
  <r>
    <x v="0"/>
    <x v="4"/>
    <n v="2022"/>
    <s v="Assault"/>
    <n v="949"/>
    <n v="132"/>
    <n v="0.13909378292939936"/>
    <n v="9"/>
    <n v="1235791"/>
    <n v="100"/>
    <n v="62"/>
    <s v="6-10"/>
    <s v="801-1000"/>
  </r>
  <r>
    <x v="1"/>
    <x v="5"/>
    <n v="2018"/>
    <s v="Theft"/>
    <n v="373"/>
    <n v="373"/>
    <n v="1"/>
    <n v="15.5"/>
    <n v="1913863"/>
    <n v="87"/>
    <n v="74"/>
    <s v="16-20"/>
    <s v="201-400"/>
  </r>
  <r>
    <x v="1"/>
    <x v="6"/>
    <n v="2024"/>
    <s v="Emergency Call"/>
    <n v="646"/>
    <n v="80"/>
    <n v="0.1238390092879257"/>
    <n v="10.5"/>
    <n v="794512"/>
    <n v="41"/>
    <n v="97"/>
    <s v="11-15"/>
    <s v="601-800"/>
  </r>
  <r>
    <x v="1"/>
    <x v="7"/>
    <n v="2020"/>
    <s v="Emergency Call"/>
    <n v="654"/>
    <n v="654"/>
    <n v="1"/>
    <n v="11"/>
    <n v="598179"/>
    <n v="106"/>
    <n v="98"/>
    <s v="11-15"/>
    <s v="601-800"/>
  </r>
  <r>
    <x v="1"/>
    <x v="8"/>
    <n v="2024"/>
    <s v="Burglary"/>
    <n v="583"/>
    <n v="465"/>
    <n v="0.79759862778730706"/>
    <n v="17.100000000000001"/>
    <n v="1784103"/>
    <n v="46"/>
    <n v="91"/>
    <s v="16-20"/>
    <s v="401-600"/>
  </r>
  <r>
    <x v="0"/>
    <x v="1"/>
    <n v="2024"/>
    <s v="Fire"/>
    <n v="787"/>
    <n v="295"/>
    <n v="0.37484116899618808"/>
    <n v="18.100000000000001"/>
    <n v="638298"/>
    <n v="198"/>
    <n v="77"/>
    <s v="16-20"/>
    <s v="601-800"/>
  </r>
  <r>
    <x v="1"/>
    <x v="2"/>
    <n v="2020"/>
    <s v="Burglary"/>
    <n v="272"/>
    <n v="272"/>
    <n v="1"/>
    <n v="7.2"/>
    <n v="914553"/>
    <n v="148"/>
    <n v="94"/>
    <s v="6-10"/>
    <s v="201-400"/>
  </r>
  <r>
    <x v="1"/>
    <x v="9"/>
    <n v="2023"/>
    <s v="Fire"/>
    <n v="503"/>
    <n v="503"/>
    <n v="1"/>
    <n v="6.3"/>
    <n v="1894138"/>
    <n v="154"/>
    <n v="64"/>
    <s v="6-10"/>
    <s v="401-600"/>
  </r>
  <r>
    <x v="0"/>
    <x v="5"/>
    <n v="2020"/>
    <s v="Vandalism"/>
    <n v="896"/>
    <n v="424"/>
    <n v="0.4732142857142857"/>
    <n v="17.2"/>
    <n v="646940"/>
    <n v="61"/>
    <n v="69"/>
    <s v="16-20"/>
    <s v="801-1000"/>
  </r>
  <r>
    <x v="1"/>
    <x v="9"/>
    <n v="2021"/>
    <s v="Fire"/>
    <n v="612"/>
    <n v="104"/>
    <n v="0.16993464052287582"/>
    <n v="16.3"/>
    <n v="1953890"/>
    <n v="40"/>
    <n v="67"/>
    <s v="16-20"/>
    <s v="601-800"/>
  </r>
  <r>
    <x v="0"/>
    <x v="10"/>
    <n v="2019"/>
    <s v="Emergency Call"/>
    <n v="378"/>
    <n v="151"/>
    <n v="0.39947089947089948"/>
    <n v="11.5"/>
    <n v="2343950"/>
    <n v="129"/>
    <n v="94"/>
    <s v="11-15"/>
    <s v="201-400"/>
  </r>
  <r>
    <x v="1"/>
    <x v="5"/>
    <n v="2020"/>
    <s v="Assault"/>
    <n v="819"/>
    <n v="145"/>
    <n v="0.17704517704517705"/>
    <n v="17.7"/>
    <n v="942193"/>
    <n v="94"/>
    <n v="64"/>
    <s v="16-20"/>
    <s v="801-1000"/>
  </r>
  <r>
    <x v="1"/>
    <x v="8"/>
    <n v="2022"/>
    <s v="Theft"/>
    <n v="343"/>
    <n v="228"/>
    <n v="0.66472303206997085"/>
    <n v="8.3000000000000007"/>
    <n v="1987198"/>
    <n v="187"/>
    <n v="93"/>
    <s v="6-10"/>
    <s v="201-400"/>
  </r>
  <r>
    <x v="1"/>
    <x v="1"/>
    <n v="2021"/>
    <s v="Assault"/>
    <n v="203"/>
    <n v="153"/>
    <n v="0.75369458128078815"/>
    <n v="19.100000000000001"/>
    <n v="2496711"/>
    <n v="96"/>
    <n v="68"/>
    <s v="16-20"/>
    <s v="201-400"/>
  </r>
  <r>
    <x v="1"/>
    <x v="9"/>
    <n v="2023"/>
    <s v="Road Accident"/>
    <n v="961"/>
    <n v="239"/>
    <n v="0.24869927159209157"/>
    <n v="12"/>
    <n v="577536"/>
    <n v="142"/>
    <n v="73"/>
    <s v="11-15"/>
    <s v="801-1000"/>
  </r>
  <r>
    <x v="1"/>
    <x v="11"/>
    <n v="2018"/>
    <s v="Burglary"/>
    <n v="355"/>
    <n v="355"/>
    <n v="1"/>
    <n v="17.3"/>
    <n v="1457685"/>
    <n v="85"/>
    <n v="82"/>
    <s v="16-20"/>
    <s v="201-400"/>
  </r>
  <r>
    <x v="1"/>
    <x v="1"/>
    <n v="2024"/>
    <s v="Emergency Call"/>
    <n v="304"/>
    <n v="304"/>
    <n v="1"/>
    <n v="12.1"/>
    <n v="2083742"/>
    <n v="81"/>
    <n v="81"/>
    <s v="11-15"/>
    <s v="201-400"/>
  </r>
  <r>
    <x v="0"/>
    <x v="8"/>
    <n v="2022"/>
    <s v="Vandalism"/>
    <n v="368"/>
    <n v="368"/>
    <n v="1"/>
    <n v="11.9"/>
    <n v="1373361"/>
    <n v="89"/>
    <n v="78"/>
    <s v="11-15"/>
    <s v="201-400"/>
  </r>
  <r>
    <x v="0"/>
    <x v="5"/>
    <n v="2018"/>
    <s v="Road Accident"/>
    <n v="278"/>
    <n v="105"/>
    <n v="0.37769784172661869"/>
    <n v="10.5"/>
    <n v="2043881"/>
    <n v="96"/>
    <n v="67"/>
    <s v="11-15"/>
    <s v="201-400"/>
  </r>
  <r>
    <x v="1"/>
    <x v="10"/>
    <n v="2022"/>
    <s v="Theft"/>
    <n v="294"/>
    <n v="294"/>
    <n v="1"/>
    <n v="7.3"/>
    <n v="1723430"/>
    <n v="191"/>
    <n v="65"/>
    <s v="6-10"/>
    <s v="201-400"/>
  </r>
  <r>
    <x v="0"/>
    <x v="1"/>
    <n v="2024"/>
    <s v="Fire"/>
    <n v="193"/>
    <n v="193"/>
    <n v="1"/>
    <n v="8.3000000000000007"/>
    <n v="1684448"/>
    <n v="47"/>
    <n v="87"/>
    <s v="6-10"/>
    <s v="0-200"/>
  </r>
  <r>
    <x v="1"/>
    <x v="8"/>
    <n v="2023"/>
    <s v="Emergency Call"/>
    <n v="229"/>
    <n v="229"/>
    <n v="1"/>
    <n v="9"/>
    <n v="670643"/>
    <n v="192"/>
    <n v="81"/>
    <s v="6-10"/>
    <s v="201-400"/>
  </r>
  <r>
    <x v="0"/>
    <x v="3"/>
    <n v="2021"/>
    <s v="Vandalism"/>
    <n v="338"/>
    <n v="109"/>
    <n v="0.3224852071005917"/>
    <n v="3.3"/>
    <n v="753279"/>
    <n v="76"/>
    <n v="78"/>
    <s v="0-5"/>
    <s v="201-400"/>
  </r>
  <r>
    <x v="0"/>
    <x v="10"/>
    <n v="2022"/>
    <s v="Road Accident"/>
    <n v="754"/>
    <n v="86"/>
    <n v="0.11405835543766578"/>
    <n v="8"/>
    <n v="1150408"/>
    <n v="53"/>
    <n v="81"/>
    <s v="6-10"/>
    <s v="601-800"/>
  </r>
  <r>
    <x v="0"/>
    <x v="2"/>
    <n v="2021"/>
    <s v="Fire"/>
    <n v="624"/>
    <n v="89"/>
    <n v="0.14262820512820512"/>
    <n v="3.8"/>
    <n v="1193310"/>
    <n v="103"/>
    <n v="98"/>
    <s v="0-5"/>
    <s v="601-800"/>
  </r>
  <r>
    <x v="1"/>
    <x v="10"/>
    <n v="2018"/>
    <s v="Burglary"/>
    <n v="270"/>
    <n v="270"/>
    <n v="1"/>
    <n v="19.3"/>
    <n v="1135651"/>
    <n v="154"/>
    <n v="75"/>
    <s v="16-20"/>
    <s v="201-400"/>
  </r>
  <r>
    <x v="0"/>
    <x v="2"/>
    <n v="2022"/>
    <s v="Theft"/>
    <n v="421"/>
    <n v="325"/>
    <n v="0.77197149643705465"/>
    <n v="13.4"/>
    <n v="2163263"/>
    <n v="124"/>
    <n v="91"/>
    <s v="11-15"/>
    <s v="401-600"/>
  </r>
  <r>
    <x v="0"/>
    <x v="5"/>
    <n v="2024"/>
    <s v="Fire"/>
    <n v="269"/>
    <n v="224"/>
    <n v="0.83271375464684017"/>
    <n v="8.9"/>
    <n v="1810091"/>
    <n v="89"/>
    <n v="82"/>
    <s v="6-10"/>
    <s v="201-400"/>
  </r>
  <r>
    <x v="1"/>
    <x v="10"/>
    <n v="2020"/>
    <s v="Emergency Call"/>
    <n v="926"/>
    <n v="437"/>
    <n v="0.47192224622030238"/>
    <n v="4.3"/>
    <n v="636733"/>
    <n v="152"/>
    <n v="98"/>
    <s v="0-5"/>
    <s v="801-1000"/>
  </r>
  <r>
    <x v="1"/>
    <x v="3"/>
    <n v="2021"/>
    <s v="Road Accident"/>
    <n v="208"/>
    <n v="208"/>
    <n v="1"/>
    <n v="6.8"/>
    <n v="739258"/>
    <n v="107"/>
    <n v="72"/>
    <s v="6-10"/>
    <s v="201-400"/>
  </r>
  <r>
    <x v="1"/>
    <x v="4"/>
    <n v="2022"/>
    <s v="Theft"/>
    <n v="855"/>
    <n v="649"/>
    <n v="0.75906432748538011"/>
    <n v="17.3"/>
    <n v="1813579"/>
    <n v="194"/>
    <n v="65"/>
    <s v="16-20"/>
    <s v="801-1000"/>
  </r>
  <r>
    <x v="1"/>
    <x v="11"/>
    <n v="2024"/>
    <s v="Theft"/>
    <n v="780"/>
    <n v="780"/>
    <n v="1"/>
    <n v="16.600000000000001"/>
    <n v="1703128"/>
    <n v="193"/>
    <n v="70"/>
    <s v="16-20"/>
    <s v="601-800"/>
  </r>
  <r>
    <x v="1"/>
    <x v="5"/>
    <n v="2023"/>
    <s v="Burglary"/>
    <n v="771"/>
    <n v="771"/>
    <n v="1"/>
    <n v="6.3"/>
    <n v="979153"/>
    <n v="132"/>
    <n v="66"/>
    <s v="6-10"/>
    <s v="601-800"/>
  </r>
  <r>
    <x v="1"/>
    <x v="9"/>
    <n v="2018"/>
    <s v="Vandalism"/>
    <n v="107"/>
    <n v="53"/>
    <n v="0.49532710280373832"/>
    <n v="17.100000000000001"/>
    <n v="1085385"/>
    <n v="170"/>
    <n v="94"/>
    <s v="16-20"/>
    <s v="0-200"/>
  </r>
  <r>
    <x v="0"/>
    <x v="6"/>
    <n v="2020"/>
    <s v="Emergency Call"/>
    <n v="151"/>
    <n v="151"/>
    <n v="1"/>
    <n v="19"/>
    <n v="993438"/>
    <n v="178"/>
    <n v="88"/>
    <s v="16-20"/>
    <s v="0-200"/>
  </r>
  <r>
    <x v="0"/>
    <x v="9"/>
    <n v="2021"/>
    <s v="Road Accident"/>
    <n v="845"/>
    <n v="691"/>
    <n v="0.81775147928994085"/>
    <n v="15"/>
    <n v="1454509"/>
    <n v="109"/>
    <n v="70"/>
    <s v="16-20"/>
    <s v="801-1000"/>
  </r>
  <r>
    <x v="0"/>
    <x v="5"/>
    <n v="2021"/>
    <s v="Theft"/>
    <n v="850"/>
    <n v="850"/>
    <n v="1"/>
    <n v="3.1"/>
    <n v="861650"/>
    <n v="123"/>
    <n v="78"/>
    <s v="0-5"/>
    <s v="801-1000"/>
  </r>
  <r>
    <x v="1"/>
    <x v="9"/>
    <n v="2021"/>
    <s v="Burglary"/>
    <n v="966"/>
    <n v="686"/>
    <n v="0.71014492753623193"/>
    <n v="17.7"/>
    <n v="858402"/>
    <n v="94"/>
    <n v="64"/>
    <s v="16-20"/>
    <s v="801-1000"/>
  </r>
  <r>
    <x v="0"/>
    <x v="1"/>
    <n v="2022"/>
    <s v="Emergency Call"/>
    <n v="879"/>
    <n v="663"/>
    <n v="0.75426621160409557"/>
    <n v="4.3"/>
    <n v="1473688"/>
    <n v="168"/>
    <n v="86"/>
    <s v="0-5"/>
    <s v="801-1000"/>
  </r>
  <r>
    <x v="1"/>
    <x v="4"/>
    <n v="2022"/>
    <s v="Theft"/>
    <n v="662"/>
    <n v="166"/>
    <n v="0.25075528700906347"/>
    <n v="14.8"/>
    <n v="906513"/>
    <n v="129"/>
    <n v="75"/>
    <s v="11-15"/>
    <s v="601-800"/>
  </r>
  <r>
    <x v="1"/>
    <x v="8"/>
    <n v="2020"/>
    <s v="Fire"/>
    <n v="624"/>
    <n v="419"/>
    <n v="0.67147435897435892"/>
    <n v="8.8000000000000007"/>
    <n v="2053334"/>
    <n v="78"/>
    <n v="93"/>
    <s v="6-10"/>
    <s v="601-800"/>
  </r>
  <r>
    <x v="0"/>
    <x v="0"/>
    <n v="2022"/>
    <s v="Emergency Call"/>
    <n v="542"/>
    <n v="173"/>
    <n v="0.31918819188191883"/>
    <n v="15"/>
    <n v="1901077"/>
    <n v="175"/>
    <n v="85"/>
    <s v="16-20"/>
    <s v="401-600"/>
  </r>
  <r>
    <x v="0"/>
    <x v="3"/>
    <n v="2021"/>
    <s v="Theft"/>
    <n v="676"/>
    <n v="676"/>
    <n v="1"/>
    <n v="12.7"/>
    <n v="1405511"/>
    <n v="146"/>
    <n v="69"/>
    <s v="11-15"/>
    <s v="601-800"/>
  </r>
  <r>
    <x v="0"/>
    <x v="10"/>
    <n v="2023"/>
    <s v="Theft"/>
    <n v="114"/>
    <n v="114"/>
    <n v="1"/>
    <n v="12.2"/>
    <n v="1558371"/>
    <n v="167"/>
    <n v="86"/>
    <s v="11-15"/>
    <s v="0-200"/>
  </r>
  <r>
    <x v="0"/>
    <x v="2"/>
    <n v="2022"/>
    <s v="Vandalism"/>
    <n v="567"/>
    <n v="303"/>
    <n v="0.53439153439153442"/>
    <n v="4.2"/>
    <n v="1001580"/>
    <n v="179"/>
    <n v="83"/>
    <s v="0-5"/>
    <s v="401-600"/>
  </r>
  <r>
    <x v="0"/>
    <x v="2"/>
    <n v="2023"/>
    <s v="Theft"/>
    <n v="106"/>
    <n v="106"/>
    <n v="1"/>
    <n v="16.100000000000001"/>
    <n v="1962609"/>
    <n v="181"/>
    <n v="86"/>
    <s v="16-20"/>
    <s v="0-200"/>
  </r>
  <r>
    <x v="1"/>
    <x v="8"/>
    <n v="2018"/>
    <s v="Vandalism"/>
    <n v="284"/>
    <n v="284"/>
    <n v="1"/>
    <n v="8.1999999999999993"/>
    <n v="1146606"/>
    <n v="81"/>
    <n v="97"/>
    <s v="6-10"/>
    <s v="201-400"/>
  </r>
  <r>
    <x v="0"/>
    <x v="5"/>
    <n v="2020"/>
    <s v="Emergency Call"/>
    <n v="798"/>
    <n v="702"/>
    <n v="0.87969924812030076"/>
    <n v="3.1"/>
    <n v="1730929"/>
    <n v="123"/>
    <n v="71"/>
    <s v="0-5"/>
    <s v="601-800"/>
  </r>
  <r>
    <x v="1"/>
    <x v="3"/>
    <n v="2024"/>
    <s v="Theft"/>
    <n v="869"/>
    <n v="466"/>
    <n v="0.53624856156501721"/>
    <n v="11.5"/>
    <n v="1511149"/>
    <n v="143"/>
    <n v="62"/>
    <s v="11-15"/>
    <s v="801-1000"/>
  </r>
  <r>
    <x v="0"/>
    <x v="11"/>
    <n v="2022"/>
    <s v="Vandalism"/>
    <n v="822"/>
    <n v="200"/>
    <n v="0.24330900243309003"/>
    <n v="5.2"/>
    <n v="1814415"/>
    <n v="38"/>
    <n v="82"/>
    <s v="6-10"/>
    <s v="801-1000"/>
  </r>
  <r>
    <x v="0"/>
    <x v="3"/>
    <n v="2018"/>
    <s v="Fire"/>
    <n v="812"/>
    <n v="781"/>
    <n v="0.96182266009852213"/>
    <n v="19.3"/>
    <n v="2472849"/>
    <n v="166"/>
    <n v="81"/>
    <s v="16-20"/>
    <s v="801-1000"/>
  </r>
  <r>
    <x v="0"/>
    <x v="4"/>
    <n v="2023"/>
    <s v="Burglary"/>
    <n v="966"/>
    <n v="369"/>
    <n v="0.38198757763975155"/>
    <n v="19.399999999999999"/>
    <n v="810382"/>
    <n v="94"/>
    <n v="70"/>
    <s v="16-20"/>
    <s v="801-1000"/>
  </r>
  <r>
    <x v="0"/>
    <x v="8"/>
    <n v="2020"/>
    <s v="Burglary"/>
    <n v="177"/>
    <n v="81"/>
    <n v="0.4576271186440678"/>
    <n v="9"/>
    <n v="1814883"/>
    <n v="168"/>
    <n v="88"/>
    <s v="6-10"/>
    <s v="0-200"/>
  </r>
  <r>
    <x v="1"/>
    <x v="0"/>
    <n v="2021"/>
    <s v="Theft"/>
    <n v="551"/>
    <n v="551"/>
    <n v="1"/>
    <n v="19.600000000000001"/>
    <n v="1280791"/>
    <n v="31"/>
    <n v="99"/>
    <s v="16-20"/>
    <s v="401-600"/>
  </r>
  <r>
    <x v="1"/>
    <x v="5"/>
    <n v="2019"/>
    <s v="Road Accident"/>
    <n v="844"/>
    <n v="655"/>
    <n v="0.77606635071090047"/>
    <n v="19.899999999999999"/>
    <n v="731974"/>
    <n v="53"/>
    <n v="63"/>
    <s v="16-20"/>
    <s v="801-1000"/>
  </r>
  <r>
    <x v="1"/>
    <x v="11"/>
    <n v="2020"/>
    <s v="Assault"/>
    <n v="964"/>
    <n v="759"/>
    <n v="0.78734439834024894"/>
    <n v="3"/>
    <n v="1891357"/>
    <n v="79"/>
    <n v="76"/>
    <s v="0-5"/>
    <s v="801-1000"/>
  </r>
  <r>
    <x v="1"/>
    <x v="8"/>
    <n v="2021"/>
    <s v="Road Accident"/>
    <n v="799"/>
    <n v="608"/>
    <n v="0.76095118898623282"/>
    <n v="9.1999999999999993"/>
    <n v="1970495"/>
    <n v="199"/>
    <n v="87"/>
    <s v="6-10"/>
    <s v="601-800"/>
  </r>
  <r>
    <x v="0"/>
    <x v="5"/>
    <n v="2018"/>
    <s v="Fire"/>
    <n v="550"/>
    <n v="550"/>
    <n v="1"/>
    <n v="7.2"/>
    <n v="853184"/>
    <n v="159"/>
    <n v="67"/>
    <s v="6-10"/>
    <s v="401-600"/>
  </r>
  <r>
    <x v="1"/>
    <x v="7"/>
    <n v="2020"/>
    <s v="Burglary"/>
    <n v="355"/>
    <n v="221"/>
    <n v="0.62253521126760558"/>
    <n v="10"/>
    <n v="2213736"/>
    <n v="168"/>
    <n v="70"/>
    <s v="11-15"/>
    <s v="201-400"/>
  </r>
  <r>
    <x v="1"/>
    <x v="6"/>
    <n v="2024"/>
    <s v="Vandalism"/>
    <n v="961"/>
    <n v="265"/>
    <n v="0.27575442247658688"/>
    <n v="6"/>
    <n v="2353760"/>
    <n v="90"/>
    <n v="94"/>
    <s v="6-10"/>
    <s v="801-1000"/>
  </r>
  <r>
    <x v="0"/>
    <x v="7"/>
    <n v="2022"/>
    <s v="Fire"/>
    <n v="216"/>
    <n v="216"/>
    <n v="1"/>
    <n v="16.2"/>
    <n v="560724"/>
    <n v="165"/>
    <n v="72"/>
    <s v="16-20"/>
    <s v="201-400"/>
  </r>
  <r>
    <x v="0"/>
    <x v="4"/>
    <n v="2022"/>
    <s v="Emergency Call"/>
    <n v="194"/>
    <n v="194"/>
    <n v="1"/>
    <n v="13"/>
    <n v="1176212"/>
    <n v="177"/>
    <n v="99"/>
    <s v="11-15"/>
    <s v="0-200"/>
  </r>
  <r>
    <x v="0"/>
    <x v="10"/>
    <n v="2019"/>
    <s v="Theft"/>
    <n v="673"/>
    <n v="72"/>
    <n v="0.10698365527488855"/>
    <n v="19.899999999999999"/>
    <n v="2121182"/>
    <n v="41"/>
    <n v="70"/>
    <s v="16-20"/>
    <s v="601-800"/>
  </r>
  <r>
    <x v="1"/>
    <x v="5"/>
    <n v="2020"/>
    <s v="Vandalism"/>
    <n v="297"/>
    <n v="297"/>
    <n v="1"/>
    <n v="5"/>
    <n v="1665783"/>
    <n v="102"/>
    <n v="80"/>
    <s v="6-10"/>
    <s v="201-400"/>
  </r>
  <r>
    <x v="0"/>
    <x v="8"/>
    <n v="2022"/>
    <s v="Vandalism"/>
    <n v="709"/>
    <n v="371"/>
    <n v="0.52327221438645977"/>
    <n v="9.3000000000000007"/>
    <n v="1679416"/>
    <n v="46"/>
    <n v="99"/>
    <s v="6-10"/>
    <s v="601-800"/>
  </r>
  <r>
    <x v="1"/>
    <x v="10"/>
    <n v="2018"/>
    <s v="Emergency Call"/>
    <n v="262"/>
    <n v="262"/>
    <n v="1"/>
    <n v="6.9"/>
    <n v="1498822"/>
    <n v="113"/>
    <n v="97"/>
    <s v="6-10"/>
    <s v="201-400"/>
  </r>
  <r>
    <x v="0"/>
    <x v="0"/>
    <n v="2018"/>
    <s v="Emergency Call"/>
    <n v="294"/>
    <n v="294"/>
    <n v="1"/>
    <n v="9.4"/>
    <n v="801207"/>
    <n v="189"/>
    <n v="76"/>
    <s v="6-10"/>
    <s v="201-400"/>
  </r>
  <r>
    <x v="0"/>
    <x v="11"/>
    <n v="2023"/>
    <s v="Assault"/>
    <n v="141"/>
    <n v="141"/>
    <n v="1"/>
    <n v="13.5"/>
    <n v="2485898"/>
    <n v="63"/>
    <n v="94"/>
    <s v="11-15"/>
    <s v="0-200"/>
  </r>
  <r>
    <x v="0"/>
    <x v="4"/>
    <n v="2022"/>
    <s v="Burglary"/>
    <n v="124"/>
    <n v="79"/>
    <n v="0.63709677419354838"/>
    <n v="19.899999999999999"/>
    <n v="772022"/>
    <n v="198"/>
    <n v="98"/>
    <s v="16-20"/>
    <s v="0-200"/>
  </r>
  <r>
    <x v="1"/>
    <x v="2"/>
    <n v="2021"/>
    <s v="Theft"/>
    <n v="407"/>
    <n v="407"/>
    <n v="1"/>
    <n v="8.8000000000000007"/>
    <n v="2024904"/>
    <n v="176"/>
    <n v="81"/>
    <s v="6-10"/>
    <s v="401-600"/>
  </r>
  <r>
    <x v="1"/>
    <x v="4"/>
    <n v="2018"/>
    <s v="Emergency Call"/>
    <n v="939"/>
    <n v="751"/>
    <n v="0.79978700745473907"/>
    <n v="9.1"/>
    <n v="2395283"/>
    <n v="98"/>
    <n v="80"/>
    <s v="6-10"/>
    <s v="801-1000"/>
  </r>
  <r>
    <x v="0"/>
    <x v="6"/>
    <n v="2018"/>
    <s v="Theft"/>
    <n v="678"/>
    <n v="430"/>
    <n v="0.63421828908554567"/>
    <n v="11.5"/>
    <n v="1230458"/>
    <n v="120"/>
    <n v="63"/>
    <s v="11-15"/>
    <s v="601-800"/>
  </r>
  <r>
    <x v="1"/>
    <x v="3"/>
    <n v="2023"/>
    <s v="Assault"/>
    <n v="989"/>
    <n v="91"/>
    <n v="9.201213346814964E-2"/>
    <n v="18.2"/>
    <n v="2014177"/>
    <n v="166"/>
    <n v="92"/>
    <s v="16-20"/>
    <s v="801-1000"/>
  </r>
  <r>
    <x v="1"/>
    <x v="5"/>
    <n v="2024"/>
    <s v="Theft"/>
    <n v="881"/>
    <n v="325"/>
    <n v="0.3688989784335982"/>
    <n v="11"/>
    <n v="1102844"/>
    <n v="92"/>
    <n v="83"/>
    <s v="11-15"/>
    <s v="801-1000"/>
  </r>
  <r>
    <x v="1"/>
    <x v="1"/>
    <n v="2021"/>
    <s v="Fire"/>
    <n v="113"/>
    <n v="113"/>
    <n v="1"/>
    <n v="9.1999999999999993"/>
    <n v="1943470"/>
    <n v="169"/>
    <n v="93"/>
    <s v="6-10"/>
    <s v="0-200"/>
  </r>
  <r>
    <x v="1"/>
    <x v="7"/>
    <n v="2019"/>
    <s v="Theft"/>
    <n v="443"/>
    <n v="443"/>
    <n v="1"/>
    <n v="5.9"/>
    <n v="1528422"/>
    <n v="127"/>
    <n v="62"/>
    <s v="6-10"/>
    <s v="401-600"/>
  </r>
  <r>
    <x v="0"/>
    <x v="8"/>
    <n v="2019"/>
    <s v="Emergency Call"/>
    <n v="391"/>
    <n v="328"/>
    <n v="0.83887468030690537"/>
    <n v="7.3"/>
    <n v="756601"/>
    <n v="65"/>
    <n v="92"/>
    <s v="6-10"/>
    <s v="201-400"/>
  </r>
  <r>
    <x v="0"/>
    <x v="1"/>
    <n v="2019"/>
    <s v="Fire"/>
    <n v="455"/>
    <n v="455"/>
    <n v="1"/>
    <n v="19.399999999999999"/>
    <n v="1976097"/>
    <n v="127"/>
    <n v="97"/>
    <s v="16-20"/>
    <s v="401-600"/>
  </r>
  <r>
    <x v="0"/>
    <x v="4"/>
    <n v="2024"/>
    <s v="Fire"/>
    <n v="997"/>
    <n v="358"/>
    <n v="0.35907723169508526"/>
    <n v="6.1"/>
    <n v="2376485"/>
    <n v="192"/>
    <n v="74"/>
    <s v="6-10"/>
    <s v="801-1000"/>
  </r>
  <r>
    <x v="1"/>
    <x v="2"/>
    <n v="2019"/>
    <s v="Vandalism"/>
    <n v="189"/>
    <n v="189"/>
    <n v="1"/>
    <n v="5"/>
    <n v="816666"/>
    <n v="112"/>
    <n v="86"/>
    <s v="6-10"/>
    <s v="0-200"/>
  </r>
  <r>
    <x v="1"/>
    <x v="2"/>
    <n v="2020"/>
    <s v="Fire"/>
    <n v="883"/>
    <n v="158"/>
    <n v="0.17893544733861835"/>
    <n v="7.5"/>
    <n v="1683422"/>
    <n v="127"/>
    <n v="83"/>
    <s v="6-10"/>
    <s v="801-1000"/>
  </r>
  <r>
    <x v="1"/>
    <x v="7"/>
    <n v="2022"/>
    <s v="Assault"/>
    <n v="202"/>
    <n v="202"/>
    <n v="1"/>
    <n v="4.0999999999999996"/>
    <n v="817129"/>
    <n v="45"/>
    <n v="78"/>
    <s v="0-5"/>
    <s v="201-400"/>
  </r>
  <r>
    <x v="1"/>
    <x v="4"/>
    <n v="2019"/>
    <s v="Fire"/>
    <n v="401"/>
    <n v="401"/>
    <n v="1"/>
    <n v="4.0999999999999996"/>
    <n v="1247068"/>
    <n v="95"/>
    <n v="75"/>
    <s v="0-5"/>
    <s v="401-600"/>
  </r>
  <r>
    <x v="1"/>
    <x v="3"/>
    <n v="2019"/>
    <s v="Road Accident"/>
    <n v="600"/>
    <n v="227"/>
    <n v="0.37833333333333335"/>
    <n v="3.1"/>
    <n v="2362675"/>
    <n v="169"/>
    <n v="65"/>
    <s v="0-5"/>
    <s v="601-800"/>
  </r>
  <r>
    <x v="1"/>
    <x v="11"/>
    <n v="2019"/>
    <s v="Vandalism"/>
    <n v="123"/>
    <n v="123"/>
    <n v="1"/>
    <n v="18"/>
    <n v="1089878"/>
    <n v="170"/>
    <n v="70"/>
    <s v="16-20"/>
    <s v="0-200"/>
  </r>
  <r>
    <x v="0"/>
    <x v="4"/>
    <n v="2021"/>
    <s v="Emergency Call"/>
    <n v="526"/>
    <n v="495"/>
    <n v="0.94106463878326996"/>
    <n v="16"/>
    <n v="1256584"/>
    <n v="140"/>
    <n v="78"/>
    <s v="16-20"/>
    <s v="401-600"/>
  </r>
  <r>
    <x v="1"/>
    <x v="7"/>
    <n v="2024"/>
    <s v="Road Accident"/>
    <n v="225"/>
    <n v="225"/>
    <n v="1"/>
    <n v="7.7"/>
    <n v="582124"/>
    <n v="186"/>
    <n v="91"/>
    <s v="6-10"/>
    <s v="201-400"/>
  </r>
  <r>
    <x v="1"/>
    <x v="4"/>
    <n v="2024"/>
    <s v="Emergency Call"/>
    <n v="429"/>
    <n v="422"/>
    <n v="0.98368298368298368"/>
    <n v="9.5"/>
    <n v="537208"/>
    <n v="92"/>
    <n v="83"/>
    <s v="6-10"/>
    <s v="401-600"/>
  </r>
  <r>
    <x v="1"/>
    <x v="9"/>
    <n v="2021"/>
    <s v="Emergency Call"/>
    <n v="131"/>
    <n v="131"/>
    <n v="1"/>
    <n v="5.6"/>
    <n v="1617598"/>
    <n v="137"/>
    <n v="92"/>
    <s v="6-10"/>
    <s v="0-200"/>
  </r>
  <r>
    <x v="0"/>
    <x v="2"/>
    <n v="2018"/>
    <s v="Fire"/>
    <n v="503"/>
    <n v="503"/>
    <n v="1"/>
    <n v="4.5"/>
    <n v="1684704"/>
    <n v="54"/>
    <n v="83"/>
    <s v="0-5"/>
    <s v="401-600"/>
  </r>
  <r>
    <x v="0"/>
    <x v="8"/>
    <n v="2018"/>
    <s v="Road Accident"/>
    <n v="191"/>
    <n v="191"/>
    <n v="1"/>
    <n v="13.9"/>
    <n v="2056764"/>
    <n v="153"/>
    <n v="75"/>
    <s v="11-15"/>
    <s v="0-200"/>
  </r>
  <r>
    <x v="0"/>
    <x v="2"/>
    <n v="2023"/>
    <s v="Fire"/>
    <n v="229"/>
    <n v="229"/>
    <n v="1"/>
    <n v="5.9"/>
    <n v="837328"/>
    <n v="94"/>
    <n v="62"/>
    <s v="6-10"/>
    <s v="201-400"/>
  </r>
  <r>
    <x v="0"/>
    <x v="11"/>
    <n v="2019"/>
    <s v="Burglary"/>
    <n v="324"/>
    <n v="324"/>
    <n v="1"/>
    <n v="8.9"/>
    <n v="511770"/>
    <n v="125"/>
    <n v="75"/>
    <s v="6-10"/>
    <s v="201-400"/>
  </r>
  <r>
    <x v="1"/>
    <x v="0"/>
    <n v="2018"/>
    <s v="Emergency Call"/>
    <n v="565"/>
    <n v="565"/>
    <n v="1"/>
    <n v="16.8"/>
    <n v="1960762"/>
    <n v="47"/>
    <n v="79"/>
    <s v="16-20"/>
    <s v="401-600"/>
  </r>
  <r>
    <x v="1"/>
    <x v="4"/>
    <n v="2018"/>
    <s v="Burglary"/>
    <n v="828"/>
    <n v="212"/>
    <n v="0.2560386473429952"/>
    <n v="13"/>
    <n v="2410635"/>
    <n v="124"/>
    <n v="62"/>
    <s v="11-15"/>
    <s v="801-1000"/>
  </r>
  <r>
    <x v="1"/>
    <x v="9"/>
    <n v="2024"/>
    <s v="Theft"/>
    <n v="671"/>
    <n v="356"/>
    <n v="0.53055141579731746"/>
    <n v="10.7"/>
    <n v="846937"/>
    <n v="125"/>
    <n v="94"/>
    <s v="11-15"/>
    <s v="601-800"/>
  </r>
  <r>
    <x v="0"/>
    <x v="2"/>
    <n v="2022"/>
    <s v="Fire"/>
    <n v="710"/>
    <n v="710"/>
    <n v="1"/>
    <n v="8"/>
    <n v="1942228"/>
    <n v="123"/>
    <n v="82"/>
    <s v="6-10"/>
    <s v="601-800"/>
  </r>
  <r>
    <x v="1"/>
    <x v="8"/>
    <n v="2018"/>
    <s v="Burglary"/>
    <n v="257"/>
    <n v="257"/>
    <n v="1"/>
    <n v="4.9000000000000004"/>
    <n v="996782"/>
    <n v="59"/>
    <n v="77"/>
    <s v="0-5"/>
    <s v="201-400"/>
  </r>
  <r>
    <x v="0"/>
    <x v="3"/>
    <n v="2024"/>
    <s v="Burglary"/>
    <n v="465"/>
    <n v="465"/>
    <n v="1"/>
    <n v="15.1"/>
    <n v="1423196"/>
    <n v="58"/>
    <n v="68"/>
    <s v="16-20"/>
    <s v="401-600"/>
  </r>
  <r>
    <x v="0"/>
    <x v="0"/>
    <n v="2022"/>
    <s v="Theft"/>
    <n v="322"/>
    <n v="322"/>
    <n v="1"/>
    <n v="12.6"/>
    <n v="1879492"/>
    <n v="191"/>
    <n v="89"/>
    <s v="11-15"/>
    <s v="201-400"/>
  </r>
  <r>
    <x v="1"/>
    <x v="2"/>
    <n v="2022"/>
    <s v="Burglary"/>
    <n v="422"/>
    <n v="422"/>
    <n v="1"/>
    <n v="17.2"/>
    <n v="995843"/>
    <n v="102"/>
    <n v="97"/>
    <s v="16-20"/>
    <s v="401-600"/>
  </r>
  <r>
    <x v="1"/>
    <x v="9"/>
    <n v="2022"/>
    <s v="Vandalism"/>
    <n v="642"/>
    <n v="103"/>
    <n v="0.16043613707165108"/>
    <n v="9.1"/>
    <n v="521631"/>
    <n v="112"/>
    <n v="98"/>
    <s v="6-10"/>
    <s v="601-800"/>
  </r>
  <r>
    <x v="0"/>
    <x v="8"/>
    <n v="2022"/>
    <s v="Assault"/>
    <n v="385"/>
    <n v="348"/>
    <n v="0.90389610389610386"/>
    <n v="19.8"/>
    <n v="1712575"/>
    <n v="111"/>
    <n v="89"/>
    <s v="16-20"/>
    <s v="201-400"/>
  </r>
  <r>
    <x v="1"/>
    <x v="8"/>
    <n v="2020"/>
    <s v="Road Accident"/>
    <n v="162"/>
    <n v="85"/>
    <n v="0.52469135802469136"/>
    <n v="10.6"/>
    <n v="727020"/>
    <n v="121"/>
    <n v="92"/>
    <s v="11-15"/>
    <s v="0-200"/>
  </r>
  <r>
    <x v="0"/>
    <x v="5"/>
    <n v="2024"/>
    <s v="Fire"/>
    <n v="946"/>
    <n v="104"/>
    <n v="0.10993657505285412"/>
    <n v="18.2"/>
    <n v="2287216"/>
    <n v="99"/>
    <n v="61"/>
    <s v="16-20"/>
    <s v="801-1000"/>
  </r>
  <r>
    <x v="0"/>
    <x v="6"/>
    <n v="2021"/>
    <s v="Fire"/>
    <n v="825"/>
    <n v="597"/>
    <n v="0.72363636363636363"/>
    <n v="10.7"/>
    <n v="617319"/>
    <n v="185"/>
    <n v="78"/>
    <s v="11-15"/>
    <s v="801-1000"/>
  </r>
  <r>
    <x v="1"/>
    <x v="2"/>
    <n v="2021"/>
    <s v="Burglary"/>
    <n v="966"/>
    <n v="856"/>
    <n v="0.88612836438923392"/>
    <n v="15.3"/>
    <n v="769162"/>
    <n v="39"/>
    <n v="82"/>
    <s v="16-20"/>
    <s v="801-1000"/>
  </r>
  <r>
    <x v="0"/>
    <x v="9"/>
    <n v="2022"/>
    <s v="Assault"/>
    <n v="365"/>
    <n v="365"/>
    <n v="1"/>
    <n v="18.600000000000001"/>
    <n v="760860"/>
    <n v="128"/>
    <n v="72"/>
    <s v="16-20"/>
    <s v="201-400"/>
  </r>
  <r>
    <x v="1"/>
    <x v="0"/>
    <n v="2023"/>
    <s v="Assault"/>
    <n v="187"/>
    <n v="187"/>
    <n v="1"/>
    <n v="3.3"/>
    <n v="1601663"/>
    <n v="74"/>
    <n v="79"/>
    <s v="0-5"/>
    <s v="0-200"/>
  </r>
  <r>
    <x v="0"/>
    <x v="5"/>
    <n v="2022"/>
    <s v="Emergency Call"/>
    <n v="571"/>
    <n v="516"/>
    <n v="0.90367775831873909"/>
    <n v="11.4"/>
    <n v="1213092"/>
    <n v="82"/>
    <n v="90"/>
    <s v="11-15"/>
    <s v="401-600"/>
  </r>
  <r>
    <x v="0"/>
    <x v="8"/>
    <n v="2021"/>
    <s v="Fire"/>
    <n v="907"/>
    <n v="575"/>
    <n v="0.63395810363836824"/>
    <n v="16.600000000000001"/>
    <n v="1374498"/>
    <n v="161"/>
    <n v="68"/>
    <s v="16-20"/>
    <s v="801-1000"/>
  </r>
  <r>
    <x v="0"/>
    <x v="10"/>
    <n v="2020"/>
    <s v="Assault"/>
    <n v="912"/>
    <n v="692"/>
    <n v="0.75877192982456143"/>
    <n v="16.899999999999999"/>
    <n v="974017"/>
    <n v="197"/>
    <n v="62"/>
    <s v="16-20"/>
    <s v="801-1000"/>
  </r>
  <r>
    <x v="0"/>
    <x v="0"/>
    <n v="2020"/>
    <s v="Theft"/>
    <n v="910"/>
    <n v="443"/>
    <n v="0.4868131868131868"/>
    <n v="19.600000000000001"/>
    <n v="1283053"/>
    <n v="103"/>
    <n v="78"/>
    <s v="16-20"/>
    <s v="801-1000"/>
  </r>
  <r>
    <x v="0"/>
    <x v="4"/>
    <n v="2024"/>
    <s v="Burglary"/>
    <n v="815"/>
    <n v="815"/>
    <n v="1"/>
    <n v="9.9"/>
    <n v="2273813"/>
    <n v="94"/>
    <n v="86"/>
    <s v="6-10"/>
    <s v="801-1000"/>
  </r>
  <r>
    <x v="0"/>
    <x v="7"/>
    <n v="2024"/>
    <s v="Vandalism"/>
    <n v="475"/>
    <n v="57"/>
    <n v="0.12"/>
    <n v="12.2"/>
    <n v="1433798"/>
    <n v="83"/>
    <n v="95"/>
    <s v="11-15"/>
    <s v="401-600"/>
  </r>
  <r>
    <x v="0"/>
    <x v="9"/>
    <n v="2019"/>
    <s v="Road Accident"/>
    <n v="832"/>
    <n v="87"/>
    <n v="0.1045673076923077"/>
    <n v="5.5"/>
    <n v="2483796"/>
    <n v="194"/>
    <n v="80"/>
    <s v="6-10"/>
    <s v="801-1000"/>
  </r>
  <r>
    <x v="0"/>
    <x v="10"/>
    <n v="2020"/>
    <s v="Emergency Call"/>
    <n v="610"/>
    <n v="170"/>
    <n v="0.27868852459016391"/>
    <n v="12.4"/>
    <n v="1131552"/>
    <n v="185"/>
    <n v="89"/>
    <s v="11-15"/>
    <s v="601-800"/>
  </r>
  <r>
    <x v="0"/>
    <x v="9"/>
    <n v="2020"/>
    <s v="Assault"/>
    <n v="287"/>
    <n v="287"/>
    <n v="1"/>
    <n v="16.8"/>
    <n v="615003"/>
    <n v="81"/>
    <n v="81"/>
    <s v="16-20"/>
    <s v="201-400"/>
  </r>
  <r>
    <x v="0"/>
    <x v="9"/>
    <n v="2022"/>
    <s v="Road Accident"/>
    <n v="823"/>
    <n v="281"/>
    <n v="0.34143377885783716"/>
    <n v="13"/>
    <n v="1358069"/>
    <n v="152"/>
    <n v="71"/>
    <s v="11-15"/>
    <s v="801-1000"/>
  </r>
  <r>
    <x v="0"/>
    <x v="3"/>
    <n v="2024"/>
    <s v="Road Accident"/>
    <n v="549"/>
    <n v="549"/>
    <n v="1"/>
    <n v="8.6999999999999993"/>
    <n v="998360"/>
    <n v="154"/>
    <n v="87"/>
    <s v="6-10"/>
    <s v="401-600"/>
  </r>
  <r>
    <x v="0"/>
    <x v="1"/>
    <n v="2023"/>
    <s v="Burglary"/>
    <n v="858"/>
    <n v="505"/>
    <n v="0.58857808857808858"/>
    <n v="5.0999999999999996"/>
    <n v="1031610"/>
    <n v="81"/>
    <n v="86"/>
    <s v="6-10"/>
    <s v="801-1000"/>
  </r>
  <r>
    <x v="0"/>
    <x v="0"/>
    <n v="2021"/>
    <s v="Burglary"/>
    <n v="316"/>
    <n v="250"/>
    <n v="0.79113924050632911"/>
    <n v="7.6"/>
    <n v="1142272"/>
    <n v="163"/>
    <n v="88"/>
    <s v="6-10"/>
    <s v="201-400"/>
  </r>
  <r>
    <x v="1"/>
    <x v="2"/>
    <n v="2022"/>
    <s v="Emergency Call"/>
    <n v="326"/>
    <n v="326"/>
    <n v="1"/>
    <n v="4.7"/>
    <n v="1583423"/>
    <n v="59"/>
    <n v="94"/>
    <s v="0-5"/>
    <s v="201-400"/>
  </r>
  <r>
    <x v="1"/>
    <x v="7"/>
    <n v="2018"/>
    <s v="Assault"/>
    <n v="696"/>
    <n v="673"/>
    <n v="0.96695402298850575"/>
    <n v="8.1999999999999993"/>
    <n v="1199659"/>
    <n v="151"/>
    <n v="97"/>
    <s v="6-10"/>
    <s v="601-800"/>
  </r>
  <r>
    <x v="0"/>
    <x v="1"/>
    <n v="2024"/>
    <s v="Burglary"/>
    <n v="387"/>
    <n v="282"/>
    <n v="0.72868217054263562"/>
    <n v="7.2"/>
    <n v="528793"/>
    <n v="158"/>
    <n v="78"/>
    <s v="6-10"/>
    <s v="201-400"/>
  </r>
  <r>
    <x v="0"/>
    <x v="9"/>
    <n v="2020"/>
    <s v="Theft"/>
    <n v="191"/>
    <n v="191"/>
    <n v="1"/>
    <n v="3"/>
    <n v="1377250"/>
    <n v="161"/>
    <n v="64"/>
    <s v="0-5"/>
    <s v="0-200"/>
  </r>
  <r>
    <x v="1"/>
    <x v="9"/>
    <n v="2023"/>
    <s v="Emergency Call"/>
    <n v="903"/>
    <n v="579"/>
    <n v="0.64119601328903653"/>
    <n v="18.5"/>
    <n v="1153765"/>
    <n v="189"/>
    <n v="65"/>
    <s v="16-20"/>
    <s v="801-1000"/>
  </r>
  <r>
    <x v="0"/>
    <x v="2"/>
    <n v="2023"/>
    <s v="Burglary"/>
    <n v="209"/>
    <n v="209"/>
    <n v="1"/>
    <n v="6.3"/>
    <n v="1600559"/>
    <n v="189"/>
    <n v="76"/>
    <s v="6-10"/>
    <s v="201-400"/>
  </r>
  <r>
    <x v="0"/>
    <x v="9"/>
    <n v="2021"/>
    <s v="Fire"/>
    <n v="810"/>
    <n v="399"/>
    <n v="0.49259259259259258"/>
    <n v="16.899999999999999"/>
    <n v="649358"/>
    <n v="79"/>
    <n v="68"/>
    <s v="16-20"/>
    <s v="801-1000"/>
  </r>
  <r>
    <x v="1"/>
    <x v="2"/>
    <n v="2019"/>
    <s v="Burglary"/>
    <n v="171"/>
    <n v="171"/>
    <n v="1"/>
    <n v="4.2"/>
    <n v="2458521"/>
    <n v="196"/>
    <n v="74"/>
    <s v="0-5"/>
    <s v="0-200"/>
  </r>
  <r>
    <x v="0"/>
    <x v="3"/>
    <n v="2024"/>
    <s v="Road Accident"/>
    <n v="882"/>
    <n v="754"/>
    <n v="0.85487528344671204"/>
    <n v="18.3"/>
    <n v="1832145"/>
    <n v="146"/>
    <n v="98"/>
    <s v="16-20"/>
    <s v="801-1000"/>
  </r>
  <r>
    <x v="0"/>
    <x v="1"/>
    <n v="2018"/>
    <s v="Theft"/>
    <n v="554"/>
    <n v="502"/>
    <n v="0.90613718411552346"/>
    <n v="19.8"/>
    <n v="1825420"/>
    <n v="161"/>
    <n v="70"/>
    <s v="16-20"/>
    <s v="401-600"/>
  </r>
  <r>
    <x v="0"/>
    <x v="0"/>
    <n v="2022"/>
    <s v="Road Accident"/>
    <n v="131"/>
    <n v="131"/>
    <n v="1"/>
    <n v="13.6"/>
    <n v="530476"/>
    <n v="133"/>
    <n v="68"/>
    <s v="11-15"/>
    <s v="0-200"/>
  </r>
  <r>
    <x v="1"/>
    <x v="4"/>
    <n v="2019"/>
    <s v="Burglary"/>
    <n v="460"/>
    <n v="460"/>
    <n v="1"/>
    <n v="7.5"/>
    <n v="2180110"/>
    <n v="69"/>
    <n v="79"/>
    <s v="6-10"/>
    <s v="401-600"/>
  </r>
  <r>
    <x v="0"/>
    <x v="1"/>
    <n v="2021"/>
    <s v="Theft"/>
    <n v="806"/>
    <n v="700"/>
    <n v="0.86848635235732008"/>
    <n v="7.3"/>
    <n v="1104173"/>
    <n v="86"/>
    <n v="70"/>
    <s v="6-10"/>
    <s v="801-1000"/>
  </r>
  <r>
    <x v="0"/>
    <x v="1"/>
    <n v="2023"/>
    <s v="Fire"/>
    <n v="986"/>
    <n v="319"/>
    <n v="0.3235294117647059"/>
    <n v="14.2"/>
    <n v="1335341"/>
    <n v="108"/>
    <n v="92"/>
    <s v="11-15"/>
    <s v="801-1000"/>
  </r>
  <r>
    <x v="0"/>
    <x v="3"/>
    <n v="2021"/>
    <s v="Road Accident"/>
    <n v="869"/>
    <n v="845"/>
    <n v="0.97238204833141539"/>
    <n v="5.2"/>
    <n v="723052"/>
    <n v="92"/>
    <n v="75"/>
    <s v="6-10"/>
    <s v="801-1000"/>
  </r>
  <r>
    <x v="0"/>
    <x v="6"/>
    <n v="2020"/>
    <s v="Theft"/>
    <n v="802"/>
    <n v="634"/>
    <n v="0.79052369077306728"/>
    <n v="9.6999999999999993"/>
    <n v="2278111"/>
    <n v="149"/>
    <n v="93"/>
    <s v="6-10"/>
    <s v="801-1000"/>
  </r>
  <r>
    <x v="1"/>
    <x v="11"/>
    <n v="2021"/>
    <s v="Burglary"/>
    <n v="426"/>
    <n v="158"/>
    <n v="0.37089201877934275"/>
    <n v="17.600000000000001"/>
    <n v="1235304"/>
    <n v="71"/>
    <n v="88"/>
    <s v="16-20"/>
    <s v="401-600"/>
  </r>
  <r>
    <x v="1"/>
    <x v="5"/>
    <n v="2023"/>
    <s v="Vandalism"/>
    <n v="511"/>
    <n v="484"/>
    <n v="0.94716242661448136"/>
    <n v="5.9"/>
    <n v="1172712"/>
    <n v="88"/>
    <n v="70"/>
    <s v="6-10"/>
    <s v="401-600"/>
  </r>
  <r>
    <x v="0"/>
    <x v="11"/>
    <n v="2023"/>
    <s v="Fire"/>
    <n v="872"/>
    <n v="198"/>
    <n v="0.22706422018348624"/>
    <n v="13.2"/>
    <n v="621867"/>
    <n v="173"/>
    <n v="66"/>
    <s v="11-15"/>
    <s v="801-1000"/>
  </r>
  <r>
    <x v="1"/>
    <x v="6"/>
    <n v="2018"/>
    <s v="Emergency Call"/>
    <n v="366"/>
    <n v="207"/>
    <n v="0.56557377049180324"/>
    <n v="13.7"/>
    <n v="1566073"/>
    <n v="94"/>
    <n v="99"/>
    <s v="11-15"/>
    <s v="201-400"/>
  </r>
  <r>
    <x v="1"/>
    <x v="3"/>
    <n v="2024"/>
    <s v="Emergency Call"/>
    <n v="422"/>
    <n v="422"/>
    <n v="1"/>
    <n v="4.8"/>
    <n v="1559539"/>
    <n v="170"/>
    <n v="82"/>
    <s v="0-5"/>
    <s v="401-600"/>
  </r>
  <r>
    <x v="0"/>
    <x v="11"/>
    <n v="2023"/>
    <s v="Theft"/>
    <n v="375"/>
    <n v="52"/>
    <n v="0.13866666666666666"/>
    <n v="8.5"/>
    <n v="663310"/>
    <n v="63"/>
    <n v="62"/>
    <s v="6-10"/>
    <s v="201-400"/>
  </r>
  <r>
    <x v="0"/>
    <x v="3"/>
    <n v="2020"/>
    <s v="Assault"/>
    <n v="406"/>
    <n v="406"/>
    <n v="1"/>
    <n v="7.6"/>
    <n v="590687"/>
    <n v="121"/>
    <n v="84"/>
    <s v="6-10"/>
    <s v="401-600"/>
  </r>
  <r>
    <x v="1"/>
    <x v="3"/>
    <n v="2018"/>
    <s v="Road Accident"/>
    <n v="826"/>
    <n v="636"/>
    <n v="0.76997578692493951"/>
    <n v="3.2"/>
    <n v="2341623"/>
    <n v="123"/>
    <n v="76"/>
    <s v="0-5"/>
    <s v="801-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2690AA-A4BE-4EA8-B960-10C58710362E}" name="PivotTable1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T33:U47" firstHeaderRow="1" firstDataRow="1" firstDataCol="1"/>
  <pivotFields count="13">
    <pivotField axis="axisRow" showAll="0">
      <items count="3">
        <item x="0"/>
        <item h="1" x="1"/>
        <item t="default"/>
      </items>
    </pivotField>
    <pivotField axis="axisRow" showAll="0">
      <items count="13">
        <item x="7"/>
        <item x="9"/>
        <item x="11"/>
        <item x="1"/>
        <item x="2"/>
        <item x="6"/>
        <item x="3"/>
        <item x="5"/>
        <item x="10"/>
        <item x="4"/>
        <item x="8"/>
        <item x="0"/>
        <item t="default"/>
      </items>
    </pivotField>
    <pivotField showAll="0"/>
    <pivotField showAll="0"/>
    <pivotField showAll="0"/>
    <pivotField showAll="0"/>
    <pivotField numFmtId="9" showAll="0"/>
    <pivotField showAll="0"/>
    <pivotField showAll="0"/>
    <pivotField showAll="0"/>
    <pivotField dataField="1" showAll="0"/>
    <pivotField showAll="0"/>
    <pivotField showAll="0"/>
  </pivotFields>
  <rowFields count="2">
    <field x="0"/>
    <field x="1"/>
  </rowFields>
  <rowItems count="14">
    <i>
      <x/>
    </i>
    <i r="1">
      <x/>
    </i>
    <i r="1">
      <x v="1"/>
    </i>
    <i r="1">
      <x v="2"/>
    </i>
    <i r="1">
      <x v="3"/>
    </i>
    <i r="1">
      <x v="4"/>
    </i>
    <i r="1">
      <x v="5"/>
    </i>
    <i r="1">
      <x v="6"/>
    </i>
    <i r="1">
      <x v="7"/>
    </i>
    <i r="1">
      <x v="8"/>
    </i>
    <i r="1">
      <x v="9"/>
    </i>
    <i r="1">
      <x v="10"/>
    </i>
    <i r="1">
      <x v="11"/>
    </i>
    <i t="grand">
      <x/>
    </i>
  </rowItems>
  <colItems count="1">
    <i/>
  </colItems>
  <dataFields count="1">
    <dataField name="Average of Public Satisfaction (%)" fld="10" subtotal="average" baseField="0" baseItem="0" numFmtId="165"/>
  </dataFields>
  <formats count="1">
    <format dxfId="0">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3">
          <reference field="4294967294" count="1" selected="0">
            <x v="0"/>
          </reference>
          <reference field="0" count="1" selected="0">
            <x v="0"/>
          </reference>
          <reference field="1"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55220A-B56C-4898-997C-ED31400853A5}" name="PivotTable3"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O31:R40" firstHeaderRow="1" firstDataRow="2" firstDataCol="1"/>
  <pivotFields count="14">
    <pivotField axis="axisCol" showAll="0">
      <items count="3">
        <item x="0"/>
        <item x="1"/>
        <item t="default"/>
      </items>
    </pivotField>
    <pivotField showAll="0">
      <items count="13">
        <item x="7"/>
        <item x="9"/>
        <item x="11"/>
        <item x="1"/>
        <item x="2"/>
        <item x="6"/>
        <item x="3"/>
        <item x="5"/>
        <item x="10"/>
        <item x="4"/>
        <item x="8"/>
        <item x="0"/>
        <item t="default"/>
      </items>
    </pivotField>
    <pivotField showAll="0"/>
    <pivotField axis="axisRow" dataField="1" showAll="0">
      <items count="8">
        <item x="4"/>
        <item x="0"/>
        <item x="6"/>
        <item x="3"/>
        <item x="2"/>
        <item x="5"/>
        <item x="1"/>
        <item t="default"/>
      </items>
    </pivotField>
    <pivotField showAll="0"/>
    <pivotField showAll="0"/>
    <pivotField numFmtId="9" showAll="0"/>
    <pivotField showAll="0"/>
    <pivotField showAll="0"/>
    <pivotField showAll="0"/>
    <pivotField showAll="0"/>
    <pivotField showAll="0"/>
    <pivotField showAll="0"/>
    <pivotField dragToRow="0" dragToCol="0" dragToPage="0" showAll="0" defaultSubtotal="0"/>
  </pivotFields>
  <rowFields count="1">
    <field x="3"/>
  </rowFields>
  <rowItems count="8">
    <i>
      <x/>
    </i>
    <i>
      <x v="1"/>
    </i>
    <i>
      <x v="2"/>
    </i>
    <i>
      <x v="3"/>
    </i>
    <i>
      <x v="4"/>
    </i>
    <i>
      <x v="5"/>
    </i>
    <i>
      <x v="6"/>
    </i>
    <i t="grand">
      <x/>
    </i>
  </rowItems>
  <colFields count="1">
    <field x="0"/>
  </colFields>
  <colItems count="3">
    <i>
      <x/>
    </i>
    <i>
      <x v="1"/>
    </i>
    <i t="grand">
      <x/>
    </i>
  </colItems>
  <dataFields count="1">
    <dataField name="Count of Incident Type" fld="3" subtotal="count" baseField="0" baseItem="0"/>
  </dataFields>
  <chartFormats count="6">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 chart="7" format="6">
      <pivotArea type="data" outline="0" fieldPosition="0">
        <references count="3">
          <reference field="4294967294" count="1" selected="0">
            <x v="0"/>
          </reference>
          <reference field="0" count="1" selected="0">
            <x v="0"/>
          </reference>
          <reference field="3" count="1" selected="0">
            <x v="3"/>
          </reference>
        </references>
      </pivotArea>
    </chartFormat>
    <chartFormat chart="7" format="7">
      <pivotArea type="data" outline="0" fieldPosition="0">
        <references count="3">
          <reference field="4294967294" count="1" selected="0">
            <x v="0"/>
          </reference>
          <reference field="0" count="1" selected="0">
            <x v="1"/>
          </reference>
          <reference field="3" count="1" selected="0">
            <x v="2"/>
          </reference>
        </references>
      </pivotArea>
    </chartFormat>
    <chartFormat chart="7" format="8">
      <pivotArea type="data" outline="0" fieldPosition="0">
        <references count="3">
          <reference field="4294967294" count="1" selected="0">
            <x v="0"/>
          </reference>
          <reference field="0" count="1" selected="0">
            <x v="1"/>
          </reference>
          <reference field="3" count="1" selected="0">
            <x v="1"/>
          </reference>
        </references>
      </pivotArea>
    </chartFormat>
    <chartFormat chart="7"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E5258A-CAC5-470F-A35B-D330CC354CE0}"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O43:R57" firstHeaderRow="1" firstDataRow="2" firstDataCol="1"/>
  <pivotFields count="14">
    <pivotField axis="axisCol" showAll="0">
      <items count="3">
        <item x="0"/>
        <item x="1"/>
        <item t="default"/>
      </items>
    </pivotField>
    <pivotField axis="axisRow" showAll="0">
      <items count="13">
        <item x="7"/>
        <item x="9"/>
        <item x="11"/>
        <item x="1"/>
        <item x="2"/>
        <item x="6"/>
        <item x="3"/>
        <item x="5"/>
        <item x="10"/>
        <item x="4"/>
        <item x="8"/>
        <item x="0"/>
        <item t="default"/>
      </items>
    </pivotField>
    <pivotField showAll="0"/>
    <pivotField showAll="0"/>
    <pivotField showAll="0"/>
    <pivotField showAll="0"/>
    <pivotField numFmtId="9" showAll="0"/>
    <pivotField dataField="1" showAll="0"/>
    <pivotField showAll="0"/>
    <pivotField showAll="0"/>
    <pivotField showAll="0"/>
    <pivotField showAll="0"/>
    <pivotField showAll="0"/>
    <pivotField dragToRow="0" dragToCol="0" dragToPage="0" showAll="0" defaultSubtotal="0"/>
  </pivotFields>
  <rowFields count="1">
    <field x="1"/>
  </rowFields>
  <rowItems count="13">
    <i>
      <x/>
    </i>
    <i>
      <x v="1"/>
    </i>
    <i>
      <x v="2"/>
    </i>
    <i>
      <x v="3"/>
    </i>
    <i>
      <x v="4"/>
    </i>
    <i>
      <x v="5"/>
    </i>
    <i>
      <x v="6"/>
    </i>
    <i>
      <x v="7"/>
    </i>
    <i>
      <x v="8"/>
    </i>
    <i>
      <x v="9"/>
    </i>
    <i>
      <x v="10"/>
    </i>
    <i>
      <x v="11"/>
    </i>
    <i t="grand">
      <x/>
    </i>
  </rowItems>
  <colFields count="1">
    <field x="0"/>
  </colFields>
  <colItems count="3">
    <i>
      <x/>
    </i>
    <i>
      <x v="1"/>
    </i>
    <i t="grand">
      <x/>
    </i>
  </colItems>
  <dataFields count="1">
    <dataField name="Average of Average Response Time (min)" fld="7" subtotal="average" baseField="0" baseItem="0"/>
  </dataFields>
  <formats count="6">
    <format dxfId="6">
      <pivotArea collapsedLevelsAreSubtotals="1" fieldPosition="0">
        <references count="2">
          <reference field="0" count="1" selected="0">
            <x v="0"/>
          </reference>
          <reference field="1" count="0"/>
        </references>
      </pivotArea>
    </format>
    <format dxfId="5">
      <pivotArea collapsedLevelsAreSubtotals="1" fieldPosition="0">
        <references count="1">
          <reference field="0" count="1">
            <x v="1"/>
          </reference>
        </references>
      </pivotArea>
    </format>
    <format dxfId="4">
      <pivotArea collapsedLevelsAreSubtotals="1" fieldPosition="0">
        <references count="2">
          <reference field="0" count="1" selected="0">
            <x v="1"/>
          </reference>
          <reference field="1" count="0"/>
        </references>
      </pivotArea>
    </format>
    <format dxfId="3">
      <pivotArea grandRow="1" outline="0" collapsedLevelsAreSubtotals="1" fieldPosition="0"/>
    </format>
    <format dxfId="2">
      <pivotArea collapsedLevelsAreSubtotals="1" fieldPosition="0">
        <references count="1">
          <reference field="0" count="1">
            <x v="0"/>
          </reference>
        </references>
      </pivotArea>
    </format>
    <format dxfId="1">
      <pivotArea grandCol="1" outline="0" collapsedLevelsAreSubtotals="1" fieldPosition="0"/>
    </format>
  </formats>
  <chartFormats count="8">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3">
          <reference field="4294967294" count="1" selected="0">
            <x v="0"/>
          </reference>
          <reference field="0" count="1" selected="0">
            <x v="1"/>
          </reference>
          <reference field="1" count="1" selected="0">
            <x v="2"/>
          </reference>
        </references>
      </pivotArea>
    </chartFormat>
    <chartFormat chart="3" format="7">
      <pivotArea type="data" outline="0" fieldPosition="0">
        <references count="3">
          <reference field="4294967294" count="1" selected="0">
            <x v="0"/>
          </reference>
          <reference field="0" count="1" selected="0">
            <x v="0"/>
          </reference>
          <reference field="1" count="1" selected="0">
            <x v="0"/>
          </reference>
        </references>
      </pivotArea>
    </chartFormat>
    <chartFormat chart="3" format="8">
      <pivotArea type="data" outline="0" fieldPosition="0">
        <references count="3">
          <reference field="4294967294" count="1" selected="0">
            <x v="0"/>
          </reference>
          <reference field="0" count="1" selected="0">
            <x v="1"/>
          </reference>
          <reference field="1" count="1" selected="0">
            <x v="3"/>
          </reference>
        </references>
      </pivotArea>
    </chartFormat>
    <chartFormat chart="3" format="9">
      <pivotArea type="data" outline="0" fieldPosition="0">
        <references count="3">
          <reference field="4294967294" count="1" selected="0">
            <x v="0"/>
          </reference>
          <reference field="0" count="1" selected="0">
            <x v="0"/>
          </reference>
          <reference field="1" count="1" selected="0">
            <x v="5"/>
          </reference>
        </references>
      </pivotArea>
    </chartFormat>
    <chartFormat chart="3" format="10">
      <pivotArea type="data" outline="0" fieldPosition="0">
        <references count="3">
          <reference field="4294967294" count="1" selected="0">
            <x v="0"/>
          </reference>
          <reference field="0" count="1" selected="0">
            <x v="1"/>
          </reference>
          <reference field="1" count="1" selected="0">
            <x v="0"/>
          </reference>
        </references>
      </pivotArea>
    </chartFormat>
    <chartFormat chart="3" format="11">
      <pivotArea type="data" outline="0" fieldPosition="0">
        <references count="3">
          <reference field="4294967294" count="1" selected="0">
            <x v="0"/>
          </reference>
          <reference field="0"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0748F5-0DBB-4FCA-BA40-1AA3A02F43B4}" name="PivotTable2" cacheId="3" dataPosition="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1">
  <location ref="O1:R28" firstHeaderRow="0" firstDataRow="1" firstDataCol="1"/>
  <pivotFields count="14">
    <pivotField axis="axisRow" showAll="0">
      <items count="3">
        <item x="0"/>
        <item x="1"/>
        <item t="default"/>
      </items>
    </pivotField>
    <pivotField axis="axisRow" showAll="0">
      <items count="13">
        <item x="7"/>
        <item x="9"/>
        <item x="11"/>
        <item x="1"/>
        <item x="2"/>
        <item x="6"/>
        <item x="3"/>
        <item x="5"/>
        <item x="10"/>
        <item x="4"/>
        <item x="8"/>
        <item x="0"/>
        <item t="default"/>
      </items>
    </pivotField>
    <pivotField showAll="0"/>
    <pivotField showAll="0"/>
    <pivotField dataField="1" showAll="0"/>
    <pivotField dataField="1" showAll="0"/>
    <pivotField dataField="1" numFmtId="9" showAll="0">
      <items count="89">
        <item x="46"/>
        <item x="67"/>
        <item x="41"/>
        <item x="59"/>
        <item x="16"/>
        <item x="66"/>
        <item x="4"/>
        <item x="2"/>
        <item x="86"/>
        <item x="3"/>
        <item x="17"/>
        <item x="56"/>
        <item x="8"/>
        <item x="10"/>
        <item x="50"/>
        <item x="84"/>
        <item x="32"/>
        <item x="13"/>
        <item x="26"/>
        <item x="54"/>
        <item x="40"/>
        <item x="68"/>
        <item x="28"/>
        <item x="15"/>
        <item x="79"/>
        <item x="69"/>
        <item x="49"/>
        <item x="47"/>
        <item x="82"/>
        <item x="6"/>
        <item x="14"/>
        <item x="51"/>
        <item x="34"/>
        <item x="9"/>
        <item x="35"/>
        <item x="20"/>
        <item x="7"/>
        <item x="65"/>
        <item x="75"/>
        <item x="22"/>
        <item x="42"/>
        <item x="58"/>
        <item x="55"/>
        <item x="29"/>
        <item x="31"/>
        <item x="85"/>
        <item x="70"/>
        <item x="39"/>
        <item x="63"/>
        <item x="45"/>
        <item x="43"/>
        <item x="74"/>
        <item x="11"/>
        <item x="27"/>
        <item x="24"/>
        <item x="60"/>
        <item x="73"/>
        <item x="12"/>
        <item x="25"/>
        <item x="64"/>
        <item x="21"/>
        <item x="38"/>
        <item x="1"/>
        <item x="87"/>
        <item x="18"/>
        <item x="36"/>
        <item x="37"/>
        <item x="81"/>
        <item x="71"/>
        <item x="5"/>
        <item x="44"/>
        <item x="23"/>
        <item x="19"/>
        <item x="48"/>
        <item x="76"/>
        <item x="78"/>
        <item x="30"/>
        <item x="61"/>
        <item x="62"/>
        <item x="57"/>
        <item x="77"/>
        <item x="52"/>
        <item x="83"/>
        <item x="33"/>
        <item x="72"/>
        <item x="80"/>
        <item x="53"/>
        <item x="0"/>
        <item t="default"/>
      </items>
    </pivotField>
    <pivotField showAll="0"/>
    <pivotField showAll="0"/>
    <pivotField showAll="0"/>
    <pivotField showAll="0"/>
    <pivotField showAll="0"/>
    <pivotField showAll="0"/>
    <pivotField dragToRow="0" dragToCol="0" dragToPage="0" showAll="0" defaultSubtotal="0"/>
  </pivotFields>
  <rowFields count="2">
    <field x="0"/>
    <field x="1"/>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Fields count="1">
    <field x="-2"/>
  </colFields>
  <colItems count="3">
    <i>
      <x/>
    </i>
    <i i="1">
      <x v="1"/>
    </i>
    <i i="2">
      <x v="2"/>
    </i>
  </colItems>
  <dataFields count="3">
    <dataField name="Cases Reported " fld="4" baseField="0" baseItem="0"/>
    <dataField name="Cases Resolved " fld="5" baseField="0" baseItem="0"/>
    <dataField name="% " fld="6" subtotal="average" baseField="0" baseItem="0" numFmtId="9"/>
  </dataFields>
  <chartFormats count="65">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359" series="1">
      <pivotArea type="data" outline="0" fieldPosition="0">
        <references count="3">
          <reference field="4294967294" count="1" selected="0">
            <x v="0"/>
          </reference>
          <reference field="0" count="1" selected="0">
            <x v="0"/>
          </reference>
          <reference field="1" count="1" selected="0">
            <x v="3"/>
          </reference>
        </references>
      </pivotArea>
    </chartFormat>
    <chartFormat chart="3" format="360" series="1">
      <pivotArea type="data" outline="0" fieldPosition="0">
        <references count="3">
          <reference field="4294967294" count="1" selected="0">
            <x v="0"/>
          </reference>
          <reference field="0" count="1" selected="0">
            <x v="0"/>
          </reference>
          <reference field="1" count="1" selected="0">
            <x v="4"/>
          </reference>
        </references>
      </pivotArea>
    </chartFormat>
    <chartFormat chart="3" format="361" series="1">
      <pivotArea type="data" outline="0" fieldPosition="0">
        <references count="3">
          <reference field="4294967294" count="1" selected="0">
            <x v="0"/>
          </reference>
          <reference field="0" count="1" selected="0">
            <x v="0"/>
          </reference>
          <reference field="1" count="1" selected="0">
            <x v="5"/>
          </reference>
        </references>
      </pivotArea>
    </chartFormat>
    <chartFormat chart="3" format="362" series="1">
      <pivotArea type="data" outline="0" fieldPosition="0">
        <references count="3">
          <reference field="4294967294" count="1" selected="0">
            <x v="0"/>
          </reference>
          <reference field="0" count="1" selected="0">
            <x v="0"/>
          </reference>
          <reference field="1" count="1" selected="0">
            <x v="6"/>
          </reference>
        </references>
      </pivotArea>
    </chartFormat>
    <chartFormat chart="3" format="363" series="1">
      <pivotArea type="data" outline="0" fieldPosition="0">
        <references count="3">
          <reference field="4294967294" count="1" selected="0">
            <x v="0"/>
          </reference>
          <reference field="0" count="1" selected="0">
            <x v="0"/>
          </reference>
          <reference field="1" count="1" selected="0">
            <x v="7"/>
          </reference>
        </references>
      </pivotArea>
    </chartFormat>
    <chartFormat chart="3" format="364" series="1">
      <pivotArea type="data" outline="0" fieldPosition="0">
        <references count="3">
          <reference field="4294967294" count="1" selected="0">
            <x v="0"/>
          </reference>
          <reference field="0" count="1" selected="0">
            <x v="0"/>
          </reference>
          <reference field="1" count="1" selected="0">
            <x v="8"/>
          </reference>
        </references>
      </pivotArea>
    </chartFormat>
    <chartFormat chart="3" format="365" series="1">
      <pivotArea type="data" outline="0" fieldPosition="0">
        <references count="3">
          <reference field="4294967294" count="1" selected="0">
            <x v="0"/>
          </reference>
          <reference field="0" count="1" selected="0">
            <x v="0"/>
          </reference>
          <reference field="1" count="1" selected="0">
            <x v="9"/>
          </reference>
        </references>
      </pivotArea>
    </chartFormat>
    <chartFormat chart="3" format="366" series="1">
      <pivotArea type="data" outline="0" fieldPosition="0">
        <references count="3">
          <reference field="4294967294" count="1" selected="0">
            <x v="0"/>
          </reference>
          <reference field="0" count="1" selected="0">
            <x v="0"/>
          </reference>
          <reference field="1" count="1" selected="0">
            <x v="10"/>
          </reference>
        </references>
      </pivotArea>
    </chartFormat>
    <chartFormat chart="3" format="367" series="1">
      <pivotArea type="data" outline="0" fieldPosition="0">
        <references count="3">
          <reference field="4294967294" count="1" selected="0">
            <x v="0"/>
          </reference>
          <reference field="0" count="1" selected="0">
            <x v="0"/>
          </reference>
          <reference field="1" count="1" selected="0">
            <x v="11"/>
          </reference>
        </references>
      </pivotArea>
    </chartFormat>
    <chartFormat chart="3" format="368" series="1">
      <pivotArea type="data" outline="0" fieldPosition="0">
        <references count="3">
          <reference field="4294967294" count="1" selected="0">
            <x v="0"/>
          </reference>
          <reference field="0" count="1" selected="0">
            <x v="1"/>
          </reference>
          <reference field="1" count="1" selected="0">
            <x v="0"/>
          </reference>
        </references>
      </pivotArea>
    </chartFormat>
    <chartFormat chart="3" format="369" series="1">
      <pivotArea type="data" outline="0" fieldPosition="0">
        <references count="3">
          <reference field="4294967294" count="1" selected="0">
            <x v="0"/>
          </reference>
          <reference field="0" count="1" selected="0">
            <x v="1"/>
          </reference>
          <reference field="1" count="1" selected="0">
            <x v="1"/>
          </reference>
        </references>
      </pivotArea>
    </chartFormat>
    <chartFormat chart="3" format="370" series="1">
      <pivotArea type="data" outline="0" fieldPosition="0">
        <references count="3">
          <reference field="4294967294" count="1" selected="0">
            <x v="0"/>
          </reference>
          <reference field="0" count="1" selected="0">
            <x v="1"/>
          </reference>
          <reference field="1" count="1" selected="0">
            <x v="2"/>
          </reference>
        </references>
      </pivotArea>
    </chartFormat>
    <chartFormat chart="3" format="371" series="1">
      <pivotArea type="data" outline="0" fieldPosition="0">
        <references count="3">
          <reference field="4294967294" count="1" selected="0">
            <x v="0"/>
          </reference>
          <reference field="0" count="1" selected="0">
            <x v="1"/>
          </reference>
          <reference field="1" count="1" selected="0">
            <x v="3"/>
          </reference>
        </references>
      </pivotArea>
    </chartFormat>
    <chartFormat chart="3" format="372" series="1">
      <pivotArea type="data" outline="0" fieldPosition="0">
        <references count="3">
          <reference field="4294967294" count="1" selected="0">
            <x v="0"/>
          </reference>
          <reference field="0" count="1" selected="0">
            <x v="1"/>
          </reference>
          <reference field="1" count="1" selected="0">
            <x v="4"/>
          </reference>
        </references>
      </pivotArea>
    </chartFormat>
    <chartFormat chart="3" format="373" series="1">
      <pivotArea type="data" outline="0" fieldPosition="0">
        <references count="3">
          <reference field="4294967294" count="1" selected="0">
            <x v="0"/>
          </reference>
          <reference field="0" count="1" selected="0">
            <x v="1"/>
          </reference>
          <reference field="1" count="1" selected="0">
            <x v="5"/>
          </reference>
        </references>
      </pivotArea>
    </chartFormat>
    <chartFormat chart="3" format="374" series="1">
      <pivotArea type="data" outline="0" fieldPosition="0">
        <references count="3">
          <reference field="4294967294" count="1" selected="0">
            <x v="0"/>
          </reference>
          <reference field="0" count="1" selected="0">
            <x v="1"/>
          </reference>
          <reference field="1" count="1" selected="0">
            <x v="6"/>
          </reference>
        </references>
      </pivotArea>
    </chartFormat>
    <chartFormat chart="3" format="375" series="1">
      <pivotArea type="data" outline="0" fieldPosition="0">
        <references count="3">
          <reference field="4294967294" count="1" selected="0">
            <x v="0"/>
          </reference>
          <reference field="0" count="1" selected="0">
            <x v="1"/>
          </reference>
          <reference field="1" count="1" selected="0">
            <x v="7"/>
          </reference>
        </references>
      </pivotArea>
    </chartFormat>
    <chartFormat chart="3" format="376" series="1">
      <pivotArea type="data" outline="0" fieldPosition="0">
        <references count="3">
          <reference field="4294967294" count="1" selected="0">
            <x v="0"/>
          </reference>
          <reference field="0" count="1" selected="0">
            <x v="1"/>
          </reference>
          <reference field="1" count="1" selected="0">
            <x v="8"/>
          </reference>
        </references>
      </pivotArea>
    </chartFormat>
    <chartFormat chart="3" format="377" series="1">
      <pivotArea type="data" outline="0" fieldPosition="0">
        <references count="3">
          <reference field="4294967294" count="1" selected="0">
            <x v="0"/>
          </reference>
          <reference field="0" count="1" selected="0">
            <x v="1"/>
          </reference>
          <reference field="1" count="1" selected="0">
            <x v="9"/>
          </reference>
        </references>
      </pivotArea>
    </chartFormat>
    <chartFormat chart="3" format="378" series="1">
      <pivotArea type="data" outline="0" fieldPosition="0">
        <references count="3">
          <reference field="4294967294" count="1" selected="0">
            <x v="0"/>
          </reference>
          <reference field="0" count="1" selected="0">
            <x v="1"/>
          </reference>
          <reference field="1" count="1" selected="0">
            <x v="10"/>
          </reference>
        </references>
      </pivotArea>
    </chartFormat>
    <chartFormat chart="3" format="379" series="1">
      <pivotArea type="data" outline="0" fieldPosition="0">
        <references count="3">
          <reference field="4294967294" count="1" selected="0">
            <x v="0"/>
          </reference>
          <reference field="0" count="1" selected="0">
            <x v="1"/>
          </reference>
          <reference field="1" count="1" selected="0">
            <x v="11"/>
          </reference>
        </references>
      </pivotArea>
    </chartFormat>
    <chartFormat chart="3" format="380">
      <pivotArea type="data" outline="0" fieldPosition="0">
        <references count="3">
          <reference field="4294967294" count="1" selected="0">
            <x v="1"/>
          </reference>
          <reference field="0" count="1" selected="0">
            <x v="0"/>
          </reference>
          <reference field="1" count="1" selected="0">
            <x v="5"/>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5"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1"/>
          </reference>
        </references>
      </pivotArea>
    </chartFormat>
    <chartFormat chart="16"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1"/>
          </reference>
        </references>
      </pivotArea>
    </chartFormat>
    <chartFormat chart="17" format="6"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1"/>
          </reference>
        </references>
      </pivotArea>
    </chartFormat>
    <chartFormat chart="17" format="9">
      <pivotArea type="data" outline="0" fieldPosition="0">
        <references count="3">
          <reference field="4294967294" count="1" selected="0">
            <x v="1"/>
          </reference>
          <reference field="0" count="1" selected="0">
            <x v="1"/>
          </reference>
          <reference field="1" count="1" selected="0">
            <x v="7"/>
          </reference>
        </references>
      </pivotArea>
    </chartFormat>
    <chartFormat chart="17" format="10" series="1">
      <pivotArea type="data" outline="0" fieldPosition="0">
        <references count="1">
          <reference field="4294967294" count="1" selected="0">
            <x v="2"/>
          </reference>
        </references>
      </pivotArea>
    </chartFormat>
    <chartFormat chart="16" format="9" series="1">
      <pivotArea type="data" outline="0" fieldPosition="0">
        <references count="1">
          <reference field="4294967294" count="1" selected="0">
            <x v="2"/>
          </reference>
        </references>
      </pivotArea>
    </chartFormat>
    <chartFormat chart="15" format="6" series="1">
      <pivotArea type="data" outline="0" fieldPosition="0">
        <references count="1">
          <reference field="4294967294" count="1" selected="0">
            <x v="2"/>
          </reference>
        </references>
      </pivotArea>
    </chartFormat>
    <chartFormat chart="13" format="3"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2"/>
          </reference>
        </references>
      </pivotArea>
    </chartFormat>
    <chartFormat chart="3" format="382" series="1">
      <pivotArea type="data" outline="0" fieldPosition="0">
        <references count="1">
          <reference field="4294967294" count="1" selected="0">
            <x v="2"/>
          </reference>
        </references>
      </pivotArea>
    </chartFormat>
    <chartFormat chart="17" format="11">
      <pivotArea type="data" outline="0" fieldPosition="0">
        <references count="3">
          <reference field="4294967294" count="1" selected="0">
            <x v="2"/>
          </reference>
          <reference field="0" count="1" selected="0">
            <x v="0"/>
          </reference>
          <reference field="1" count="1" selected="0">
            <x v="0"/>
          </reference>
        </references>
      </pivotArea>
    </chartFormat>
    <chartFormat chart="17" format="12">
      <pivotArea type="data" outline="0" fieldPosition="0">
        <references count="3">
          <reference field="4294967294" count="1" selected="0">
            <x v="2"/>
          </reference>
          <reference field="0" count="1" selected="0">
            <x v="0"/>
          </reference>
          <reference field="1" count="1" selected="0">
            <x v="1"/>
          </reference>
        </references>
      </pivotArea>
    </chartFormat>
    <chartFormat chart="17" format="13">
      <pivotArea type="data" outline="0" fieldPosition="0">
        <references count="3">
          <reference field="4294967294" count="1" selected="0">
            <x v="2"/>
          </reference>
          <reference field="0" count="1" selected="0">
            <x v="0"/>
          </reference>
          <reference field="1" count="1" selected="0">
            <x v="3"/>
          </reference>
        </references>
      </pivotArea>
    </chartFormat>
    <chartFormat chart="17" format="14">
      <pivotArea type="data" outline="0" fieldPosition="0">
        <references count="3">
          <reference field="4294967294" count="1" selected="0">
            <x v="2"/>
          </reference>
          <reference field="0" count="1" selected="0">
            <x v="1"/>
          </reference>
          <reference field="1" count="1" selected="0">
            <x v="3"/>
          </reference>
        </references>
      </pivotArea>
    </chartFormat>
    <chartFormat chart="17" format="15">
      <pivotArea type="data" outline="0" fieldPosition="0">
        <references count="3">
          <reference field="4294967294" count="1" selected="0">
            <x v="2"/>
          </reference>
          <reference field="0" count="1" selected="0">
            <x v="1"/>
          </reference>
          <reference field="1" count="1" selected="0">
            <x v="5"/>
          </reference>
        </references>
      </pivotArea>
    </chartFormat>
    <chartFormat chart="17" format="16">
      <pivotArea type="data" outline="0" fieldPosition="0">
        <references count="3">
          <reference field="4294967294" count="1" selected="0">
            <x v="2"/>
          </reference>
          <reference field="0" count="1" selected="0">
            <x v="1"/>
          </reference>
          <reference field="1" count="1" selected="0">
            <x v="8"/>
          </reference>
        </references>
      </pivotArea>
    </chartFormat>
    <chartFormat chart="17" format="17">
      <pivotArea type="data" outline="0" fieldPosition="0">
        <references count="3">
          <reference field="4294967294" count="1" selected="0">
            <x v="2"/>
          </reference>
          <reference field="0" count="1" selected="0">
            <x v="1"/>
          </reference>
          <reference field="1" count="1" selected="0">
            <x v="11"/>
          </reference>
        </references>
      </pivotArea>
    </chartFormat>
    <chartFormat chart="17" format="18">
      <pivotArea type="data" outline="0" fieldPosition="0">
        <references count="3">
          <reference field="4294967294" count="1" selected="0">
            <x v="2"/>
          </reference>
          <reference field="0" count="1" selected="0">
            <x v="1"/>
          </reference>
          <reference field="1" count="1" selected="0">
            <x v="10"/>
          </reference>
        </references>
      </pivotArea>
    </chartFormat>
    <chartFormat chart="17" format="19">
      <pivotArea type="data" outline="0" fieldPosition="0">
        <references count="3">
          <reference field="4294967294" count="1" selected="0">
            <x v="2"/>
          </reference>
          <reference field="0" count="1" selected="0">
            <x v="1"/>
          </reference>
          <reference field="1" count="1" selected="0">
            <x v="9"/>
          </reference>
        </references>
      </pivotArea>
    </chartFormat>
    <chartFormat chart="17" format="20">
      <pivotArea type="data" outline="0" fieldPosition="0">
        <references count="3">
          <reference field="4294967294" count="1" selected="0">
            <x v="2"/>
          </reference>
          <reference field="0" count="1" selected="0">
            <x v="1"/>
          </reference>
          <reference field="1" count="1" selected="0">
            <x v="7"/>
          </reference>
        </references>
      </pivotArea>
    </chartFormat>
    <chartFormat chart="17" format="21">
      <pivotArea type="data" outline="0" fieldPosition="0">
        <references count="3">
          <reference field="4294967294" count="1" selected="0">
            <x v="2"/>
          </reference>
          <reference field="0" count="1" selected="0">
            <x v="1"/>
          </reference>
          <reference field="1" count="1" selected="0">
            <x v="6"/>
          </reference>
        </references>
      </pivotArea>
    </chartFormat>
    <chartFormat chart="17" format="22">
      <pivotArea type="data" outline="0" fieldPosition="0">
        <references count="3">
          <reference field="4294967294" count="1" selected="0">
            <x v="2"/>
          </reference>
          <reference field="0" count="1" selected="0">
            <x v="1"/>
          </reference>
          <reference field="1" count="1" selected="0">
            <x v="4"/>
          </reference>
        </references>
      </pivotArea>
    </chartFormat>
    <chartFormat chart="17" format="23">
      <pivotArea type="data" outline="0" fieldPosition="0">
        <references count="3">
          <reference field="4294967294" count="1" selected="0">
            <x v="2"/>
          </reference>
          <reference field="0" count="1" selected="0">
            <x v="0"/>
          </reference>
          <reference field="1" count="1" selected="0">
            <x v="2"/>
          </reference>
        </references>
      </pivotArea>
    </chartFormat>
    <chartFormat chart="17" format="24">
      <pivotArea type="data" outline="0" fieldPosition="0">
        <references count="3">
          <reference field="4294967294" count="1" selected="0">
            <x v="2"/>
          </reference>
          <reference field="0" count="1" selected="0">
            <x v="0"/>
          </reference>
          <reference field="1" count="1" selected="0">
            <x v="4"/>
          </reference>
        </references>
      </pivotArea>
    </chartFormat>
    <chartFormat chart="17" format="25">
      <pivotArea type="data" outline="0" fieldPosition="0">
        <references count="3">
          <reference field="4294967294" count="1" selected="0">
            <x v="2"/>
          </reference>
          <reference field="0" count="1" selected="0">
            <x v="1"/>
          </reference>
          <reference field="1" count="1" selected="0">
            <x v="2"/>
          </reference>
        </references>
      </pivotArea>
    </chartFormat>
    <chartFormat chart="17" format="26">
      <pivotArea type="data" outline="0" fieldPosition="0">
        <references count="3">
          <reference field="4294967294" count="1" selected="0">
            <x v="2"/>
          </reference>
          <reference field="0" count="1" selected="0">
            <x v="1"/>
          </reference>
          <reference field="1" count="1" selected="0">
            <x v="0"/>
          </reference>
        </references>
      </pivotArea>
    </chartFormat>
    <chartFormat chart="17" format="27">
      <pivotArea type="data" outline="0" fieldPosition="0">
        <references count="3">
          <reference field="4294967294" count="1" selected="0">
            <x v="2"/>
          </reference>
          <reference field="0" count="1" selected="0">
            <x v="1"/>
          </reference>
          <reference field="1" count="1" selected="0">
            <x v="1"/>
          </reference>
        </references>
      </pivotArea>
    </chartFormat>
    <chartFormat chart="17" format="28">
      <pivotArea type="data" outline="0" fieldPosition="0">
        <references count="3">
          <reference field="4294967294" count="1" selected="0">
            <x v="2"/>
          </reference>
          <reference field="0" count="1" selected="0">
            <x v="0"/>
          </reference>
          <reference field="1" count="1" selected="0">
            <x v="5"/>
          </reference>
        </references>
      </pivotArea>
    </chartFormat>
    <chartFormat chart="17" format="29">
      <pivotArea type="data" outline="0" fieldPosition="0">
        <references count="3">
          <reference field="4294967294" count="1" selected="0">
            <x v="2"/>
          </reference>
          <reference field="0" count="1" selected="0">
            <x v="0"/>
          </reference>
          <reference field="1" count="1" selected="0">
            <x v="6"/>
          </reference>
        </references>
      </pivotArea>
    </chartFormat>
    <chartFormat chart="17" format="30">
      <pivotArea type="data" outline="0" fieldPosition="0">
        <references count="3">
          <reference field="4294967294" count="1" selected="0">
            <x v="2"/>
          </reference>
          <reference field="0" count="1" selected="0">
            <x v="0"/>
          </reference>
          <reference field="1" count="1" selected="0">
            <x v="7"/>
          </reference>
        </references>
      </pivotArea>
    </chartFormat>
    <chartFormat chart="17" format="31">
      <pivotArea type="data" outline="0" fieldPosition="0">
        <references count="3">
          <reference field="4294967294" count="1" selected="0">
            <x v="2"/>
          </reference>
          <reference field="0" count="1" selected="0">
            <x v="0"/>
          </reference>
          <reference field="1" count="1" selected="0">
            <x v="8"/>
          </reference>
        </references>
      </pivotArea>
    </chartFormat>
    <chartFormat chart="17" format="32">
      <pivotArea type="data" outline="0" fieldPosition="0">
        <references count="3">
          <reference field="4294967294" count="1" selected="0">
            <x v="2"/>
          </reference>
          <reference field="0" count="1" selected="0">
            <x v="0"/>
          </reference>
          <reference field="1" count="1" selected="0">
            <x v="9"/>
          </reference>
        </references>
      </pivotArea>
    </chartFormat>
    <chartFormat chart="17" format="33">
      <pivotArea type="data" outline="0" fieldPosition="0">
        <references count="3">
          <reference field="4294967294" count="1" selected="0">
            <x v="2"/>
          </reference>
          <reference field="0" count="1" selected="0">
            <x v="0"/>
          </reference>
          <reference field="1" count="1" selected="0">
            <x v="10"/>
          </reference>
        </references>
      </pivotArea>
    </chartFormat>
    <chartFormat chart="17" format="34">
      <pivotArea type="data" outline="0" fieldPosition="0">
        <references count="3">
          <reference field="4294967294" count="1" selected="0">
            <x v="2"/>
          </reference>
          <reference field="0" count="1" selected="0">
            <x v="0"/>
          </reference>
          <reference field="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147076-B354-420A-A76D-54C70BF26E8F}"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T17:W31" firstHeaderRow="1" firstDataRow="2" firstDataCol="1"/>
  <pivotFields count="14">
    <pivotField axis="axisCol" showAll="0">
      <items count="3">
        <item x="0"/>
        <item x="1"/>
        <item t="default"/>
      </items>
    </pivotField>
    <pivotField axis="axisRow" showAll="0">
      <items count="13">
        <item x="7"/>
        <item x="9"/>
        <item x="11"/>
        <item x="1"/>
        <item x="2"/>
        <item x="6"/>
        <item x="3"/>
        <item x="5"/>
        <item x="10"/>
        <item x="4"/>
        <item x="8"/>
        <item x="0"/>
        <item t="default"/>
      </items>
    </pivotField>
    <pivotField showAll="0"/>
    <pivotField showAll="0"/>
    <pivotField showAll="0"/>
    <pivotField showAll="0"/>
    <pivotField numFmtId="9" showAll="0"/>
    <pivotField showAll="0"/>
    <pivotField showAll="0"/>
    <pivotField dataField="1" showAll="0"/>
    <pivotField showAll="0"/>
    <pivotField showAll="0"/>
    <pivotField showAll="0"/>
    <pivotField dragToRow="0" dragToCol="0" dragToPage="0" showAll="0" defaultSubtotal="0"/>
  </pivotFields>
  <rowFields count="1">
    <field x="1"/>
  </rowFields>
  <rowItems count="13">
    <i>
      <x/>
    </i>
    <i>
      <x v="1"/>
    </i>
    <i>
      <x v="2"/>
    </i>
    <i>
      <x v="3"/>
    </i>
    <i>
      <x v="4"/>
    </i>
    <i>
      <x v="5"/>
    </i>
    <i>
      <x v="6"/>
    </i>
    <i>
      <x v="7"/>
    </i>
    <i>
      <x v="8"/>
    </i>
    <i>
      <x v="9"/>
    </i>
    <i>
      <x v="10"/>
    </i>
    <i>
      <x v="11"/>
    </i>
    <i t="grand">
      <x/>
    </i>
  </rowItems>
  <colFields count="1">
    <field x="0"/>
  </colFields>
  <colItems count="3">
    <i>
      <x/>
    </i>
    <i>
      <x v="1"/>
    </i>
    <i t="grand">
      <x/>
    </i>
  </colItems>
  <dataFields count="1">
    <dataField name="Sum of Staff Count" fld="9" baseField="0" baseItem="0"/>
  </dataFields>
  <formats count="1">
    <format dxfId="7">
      <pivotArea field="1" grandCol="1" collapsedLevelsAreSubtotals="1" axis="axisRow" fieldPosition="0">
        <references count="1">
          <reference field="1" count="1">
            <x v="0"/>
          </reference>
        </references>
      </pivotArea>
    </format>
  </formats>
  <chartFormats count="16">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 chart="9" format="6">
      <pivotArea type="data" outline="0" fieldPosition="0">
        <references count="3">
          <reference field="4294967294" count="1" selected="0">
            <x v="0"/>
          </reference>
          <reference field="0" count="1" selected="0">
            <x v="1"/>
          </reference>
          <reference field="1" count="1" selected="0">
            <x v="1"/>
          </reference>
        </references>
      </pivotArea>
    </chartFormat>
    <chartFormat chart="9" format="7">
      <pivotArea type="data" outline="0" fieldPosition="0">
        <references count="3">
          <reference field="4294967294" count="1" selected="0">
            <x v="0"/>
          </reference>
          <reference field="0" count="1" selected="0">
            <x v="0"/>
          </reference>
          <reference field="1" count="1" selected="0">
            <x v="3"/>
          </reference>
        </references>
      </pivotArea>
    </chartFormat>
    <chartFormat chart="9" format="14" series="1">
      <pivotArea type="data" outline="0" fieldPosition="0">
        <references count="2">
          <reference field="4294967294" count="1" selected="0">
            <x v="0"/>
          </reference>
          <reference field="1" count="1" selected="0">
            <x v="2"/>
          </reference>
        </references>
      </pivotArea>
    </chartFormat>
    <chartFormat chart="9" format="15" series="1">
      <pivotArea type="data" outline="0" fieldPosition="0">
        <references count="2">
          <reference field="4294967294" count="1" selected="0">
            <x v="0"/>
          </reference>
          <reference field="1" count="1" selected="0">
            <x v="3"/>
          </reference>
        </references>
      </pivotArea>
    </chartFormat>
    <chartFormat chart="9" format="16" series="1">
      <pivotArea type="data" outline="0" fieldPosition="0">
        <references count="2">
          <reference field="4294967294" count="1" selected="0">
            <x v="0"/>
          </reference>
          <reference field="1" count="1" selected="0">
            <x v="4"/>
          </reference>
        </references>
      </pivotArea>
    </chartFormat>
    <chartFormat chart="9" format="17" series="1">
      <pivotArea type="data" outline="0" fieldPosition="0">
        <references count="2">
          <reference field="4294967294" count="1" selected="0">
            <x v="0"/>
          </reference>
          <reference field="1" count="1" selected="0">
            <x v="5"/>
          </reference>
        </references>
      </pivotArea>
    </chartFormat>
    <chartFormat chart="9" format="18" series="1">
      <pivotArea type="data" outline="0" fieldPosition="0">
        <references count="2">
          <reference field="4294967294" count="1" selected="0">
            <x v="0"/>
          </reference>
          <reference field="1" count="1" selected="0">
            <x v="6"/>
          </reference>
        </references>
      </pivotArea>
    </chartFormat>
    <chartFormat chart="9" format="19" series="1">
      <pivotArea type="data" outline="0" fieldPosition="0">
        <references count="2">
          <reference field="4294967294" count="1" selected="0">
            <x v="0"/>
          </reference>
          <reference field="1" count="1" selected="0">
            <x v="7"/>
          </reference>
        </references>
      </pivotArea>
    </chartFormat>
    <chartFormat chart="9" format="20" series="1">
      <pivotArea type="data" outline="0" fieldPosition="0">
        <references count="2">
          <reference field="4294967294" count="1" selected="0">
            <x v="0"/>
          </reference>
          <reference field="1" count="1" selected="0">
            <x v="8"/>
          </reference>
        </references>
      </pivotArea>
    </chartFormat>
    <chartFormat chart="9" format="21" series="1">
      <pivotArea type="data" outline="0" fieldPosition="0">
        <references count="2">
          <reference field="4294967294" count="1" selected="0">
            <x v="0"/>
          </reference>
          <reference field="1" count="1" selected="0">
            <x v="9"/>
          </reference>
        </references>
      </pivotArea>
    </chartFormat>
    <chartFormat chart="9" format="22" series="1">
      <pivotArea type="data" outline="0" fieldPosition="0">
        <references count="2">
          <reference field="4294967294" count="1" selected="0">
            <x v="0"/>
          </reference>
          <reference field="1" count="1" selected="0">
            <x v="10"/>
          </reference>
        </references>
      </pivotArea>
    </chartFormat>
    <chartFormat chart="9" format="23" series="1">
      <pivotArea type="data" outline="0" fieldPosition="0">
        <references count="2">
          <reference field="4294967294" count="1" selected="0">
            <x v="0"/>
          </reference>
          <reference field="1" count="1" selected="0">
            <x v="11"/>
          </reference>
        </references>
      </pivotArea>
    </chartFormat>
    <chartFormat chart="9" format="24" series="1">
      <pivotArea type="data" outline="0" fieldPosition="0">
        <references count="2">
          <reference field="4294967294" count="1" selected="0">
            <x v="0"/>
          </reference>
          <reference field="1" count="1" selected="0">
            <x v="0"/>
          </reference>
        </references>
      </pivotArea>
    </chartFormat>
    <chartFormat chart="9" format="2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7A9E03-2E5A-4865-8A1B-8469034CE9D2}"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T1:W15" firstHeaderRow="1" firstDataRow="2" firstDataCol="1"/>
  <pivotFields count="14">
    <pivotField axis="axisCol" showAll="0">
      <items count="3">
        <item x="0"/>
        <item x="1"/>
        <item t="default"/>
      </items>
    </pivotField>
    <pivotField axis="axisRow" showAll="0">
      <items count="13">
        <item x="7"/>
        <item x="9"/>
        <item x="11"/>
        <item x="1"/>
        <item x="2"/>
        <item x="6"/>
        <item x="3"/>
        <item x="5"/>
        <item x="10"/>
        <item x="4"/>
        <item x="8"/>
        <item x="0"/>
        <item t="default"/>
      </items>
    </pivotField>
    <pivotField showAll="0"/>
    <pivotField showAll="0"/>
    <pivotField showAll="0"/>
    <pivotField showAll="0"/>
    <pivotField numFmtId="9" showAll="0"/>
    <pivotField showAll="0"/>
    <pivotField dataField="1" showAll="0"/>
    <pivotField showAll="0"/>
    <pivotField showAll="0"/>
    <pivotField showAll="0"/>
    <pivotField showAll="0"/>
    <pivotField dragToRow="0" dragToCol="0" dragToPage="0" showAll="0" defaultSubtotal="0"/>
  </pivotFields>
  <rowFields count="1">
    <field x="1"/>
  </rowFields>
  <rowItems count="13">
    <i>
      <x/>
    </i>
    <i>
      <x v="1"/>
    </i>
    <i>
      <x v="2"/>
    </i>
    <i>
      <x v="3"/>
    </i>
    <i>
      <x v="4"/>
    </i>
    <i>
      <x v="5"/>
    </i>
    <i>
      <x v="6"/>
    </i>
    <i>
      <x v="7"/>
    </i>
    <i>
      <x v="8"/>
    </i>
    <i>
      <x v="9"/>
    </i>
    <i>
      <x v="10"/>
    </i>
    <i>
      <x v="11"/>
    </i>
    <i t="grand">
      <x/>
    </i>
  </rowItems>
  <colFields count="1">
    <field x="0"/>
  </colFields>
  <colItems count="3">
    <i>
      <x/>
    </i>
    <i>
      <x v="1"/>
    </i>
    <i t="grand">
      <x/>
    </i>
  </colItems>
  <dataFields count="1">
    <dataField name="Sum of Budget (£)" fld="8" baseField="0" baseItem="0" numFmtId="164"/>
  </dataFields>
  <formats count="1">
    <format dxfId="8">
      <pivotArea outline="0" collapsedLevelsAreSubtotals="1" fieldPosition="0"/>
    </format>
  </formats>
  <chartFormats count="5">
    <chartFormat chart="19" format="4" series="1">
      <pivotArea type="data" outline="0" fieldPosition="0">
        <references count="2">
          <reference field="4294967294" count="1" selected="0">
            <x v="0"/>
          </reference>
          <reference field="0" count="1" selected="0">
            <x v="0"/>
          </reference>
        </references>
      </pivotArea>
    </chartFormat>
    <chartFormat chart="19" format="5" series="1">
      <pivotArea type="data" outline="0" fieldPosition="0">
        <references count="2">
          <reference field="4294967294" count="1" selected="0">
            <x v="0"/>
          </reference>
          <reference field="0" count="1" selected="0">
            <x v="1"/>
          </reference>
        </references>
      </pivotArea>
    </chartFormat>
    <chartFormat chart="19" format="6">
      <pivotArea type="data" outline="0" fieldPosition="0">
        <references count="3">
          <reference field="4294967294" count="1" selected="0">
            <x v="0"/>
          </reference>
          <reference field="0" count="1" selected="0">
            <x v="1"/>
          </reference>
          <reference field="1" count="1" selected="0">
            <x v="1"/>
          </reference>
        </references>
      </pivotArea>
    </chartFormat>
    <chartFormat chart="19" format="7">
      <pivotArea type="data" outline="0" fieldPosition="0">
        <references count="3">
          <reference field="4294967294" count="1" selected="0">
            <x v="0"/>
          </reference>
          <reference field="0" count="1" selected="0">
            <x v="1"/>
          </reference>
          <reference field="1" count="1" selected="0">
            <x v="6"/>
          </reference>
        </references>
      </pivotArea>
    </chartFormat>
    <chartFormat chart="19" format="8">
      <pivotArea type="data" outline="0" fieldPosition="0">
        <references count="3">
          <reference field="4294967294" count="1" selected="0">
            <x v="0"/>
          </reference>
          <reference field="0"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152FF9-069B-4A5D-A601-9E3FB622E9C6}" name="PivotTable1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T49:U63" firstHeaderRow="1" firstDataRow="1" firstDataCol="1"/>
  <pivotFields count="13">
    <pivotField axis="axisRow" showAll="0">
      <items count="3">
        <item h="1" x="0"/>
        <item x="1"/>
        <item t="default"/>
      </items>
    </pivotField>
    <pivotField axis="axisRow" showAll="0">
      <items count="13">
        <item x="7"/>
        <item x="9"/>
        <item x="11"/>
        <item x="1"/>
        <item x="2"/>
        <item x="6"/>
        <item x="3"/>
        <item x="5"/>
        <item x="10"/>
        <item x="4"/>
        <item x="8"/>
        <item x="0"/>
        <item t="default"/>
      </items>
    </pivotField>
    <pivotField showAll="0"/>
    <pivotField showAll="0"/>
    <pivotField showAll="0"/>
    <pivotField showAll="0"/>
    <pivotField numFmtId="9" showAll="0"/>
    <pivotField showAll="0"/>
    <pivotField showAll="0"/>
    <pivotField showAll="0"/>
    <pivotField dataField="1" showAll="0"/>
    <pivotField showAll="0"/>
    <pivotField showAll="0"/>
  </pivotFields>
  <rowFields count="2">
    <field x="0"/>
    <field x="1"/>
  </rowFields>
  <rowItems count="14">
    <i>
      <x v="1"/>
    </i>
    <i r="1">
      <x/>
    </i>
    <i r="1">
      <x v="1"/>
    </i>
    <i r="1">
      <x v="2"/>
    </i>
    <i r="1">
      <x v="3"/>
    </i>
    <i r="1">
      <x v="4"/>
    </i>
    <i r="1">
      <x v="5"/>
    </i>
    <i r="1">
      <x v="6"/>
    </i>
    <i r="1">
      <x v="7"/>
    </i>
    <i r="1">
      <x v="8"/>
    </i>
    <i r="1">
      <x v="9"/>
    </i>
    <i r="1">
      <x v="10"/>
    </i>
    <i r="1">
      <x v="11"/>
    </i>
    <i t="grand">
      <x/>
    </i>
  </rowItems>
  <colItems count="1">
    <i/>
  </colItems>
  <dataFields count="1">
    <dataField name="Average of Public Satisfaction (%)" fld="10" subtotal="average" baseField="0" baseItem="0" numFmtId="165"/>
  </dataFields>
  <formats count="1">
    <format dxfId="9">
      <pivotArea outline="0" collapsedLevelsAreSubtotals="1" fieldPosition="0"/>
    </format>
  </formats>
  <chartFormats count="2">
    <chartFormat chart="7" format="2" series="1">
      <pivotArea type="data" outline="0" fieldPosition="0">
        <references count="1">
          <reference field="4294967294" count="1" selected="0">
            <x v="0"/>
          </reference>
        </references>
      </pivotArea>
    </chartFormat>
    <chartFormat chart="7" format="3">
      <pivotArea type="data" outline="0" fieldPosition="0">
        <references count="3">
          <reference field="4294967294" count="1" selected="0">
            <x v="0"/>
          </reference>
          <reference field="0" count="1" selected="0">
            <x v="1"/>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9D8AEFC-E2D0-415B-BE33-33F9E1154EB3}" sourceName="Department">
  <pivotTables>
    <pivotTable tabId="1" name="PivotTable3"/>
    <pivotTable tabId="1" name="PivotTable4"/>
    <pivotTable tabId="1" name="PivotTable6"/>
    <pivotTable tabId="1" name="PivotTable5"/>
    <pivotTable tabId="1" name="PivotTable2"/>
  </pivotTables>
  <data>
    <tabular pivotCacheId="160641389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92FE2BC-5B04-4448-A94D-2364B777F66A}" sourceName="Region">
  <pivotTables>
    <pivotTable tabId="1" name="PivotTable3"/>
    <pivotTable tabId="1" name="PivotTable4"/>
    <pivotTable tabId="1" name="PivotTable6"/>
    <pivotTable tabId="1" name="PivotTable5"/>
  </pivotTables>
  <data>
    <tabular pivotCacheId="1606413897">
      <items count="12">
        <i x="7" s="1"/>
        <i x="9" s="1"/>
        <i x="11" s="1"/>
        <i x="1" s="1"/>
        <i x="2" s="1"/>
        <i x="6" s="1"/>
        <i x="3" s="1"/>
        <i x="5" s="1"/>
        <i x="10" s="1"/>
        <i x="4" s="1"/>
        <i x="8"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4D2185E-243A-4754-A200-D7CD49D18C90}" cache="Slicer_Department" caption="Department" style="SlicerStyleDark1" rowHeight="396000"/>
  <slicer name="Region" xr10:uid="{1CA00121-1650-49D8-9FCE-1D1EB6FCED3D}" cache="Slicer_Region" caption="Region" columnCount="4" style="SlicerStyleDark2" rowHeight="2880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0AD79-3890-4AAC-B79C-93C9667FE4F4}">
  <dimension ref="A1"/>
  <sheetViews>
    <sheetView showGridLines="0" workbookViewId="0">
      <selection activeCell="D5" sqref="D5"/>
    </sheetView>
  </sheetViews>
  <sheetFormatPr defaultRowHeight="15" x14ac:dyDescent="0.25"/>
  <cols>
    <col min="1" max="16384" width="9.140625" style="8"/>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4B1BA-5EBF-414B-A016-43C7EED2D063}">
  <dimension ref="A1:L151"/>
  <sheetViews>
    <sheetView topLeftCell="C1" workbookViewId="0">
      <selection activeCell="N18" sqref="N18"/>
    </sheetView>
  </sheetViews>
  <sheetFormatPr defaultRowHeight="15" x14ac:dyDescent="0.25"/>
  <cols>
    <col min="1" max="1" width="11.7109375" bestFit="1" customWidth="1"/>
    <col min="2" max="2" width="24.42578125" bestFit="1" customWidth="1"/>
    <col min="3" max="3" width="5.140625" bestFit="1" customWidth="1"/>
    <col min="4" max="4" width="14.5703125" bestFit="1" customWidth="1"/>
    <col min="5" max="5" width="14.85546875" bestFit="1" customWidth="1"/>
    <col min="6" max="6" width="14.7109375" bestFit="1" customWidth="1"/>
    <col min="7" max="7" width="28" bestFit="1" customWidth="1"/>
    <col min="8" max="8" width="10.140625" bestFit="1" customWidth="1"/>
    <col min="9" max="9" width="10.85546875" bestFit="1" customWidth="1"/>
    <col min="10" max="10" width="20.85546875" bestFit="1" customWidth="1"/>
    <col min="11" max="11" width="20.7109375" bestFit="1" customWidth="1"/>
    <col min="12" max="12" width="15.140625" bestFit="1" customWidth="1"/>
    <col min="14" max="14" width="11.28515625" bestFit="1" customWidth="1"/>
    <col min="15" max="17" width="8.85546875" bestFit="1" customWidth="1"/>
    <col min="18" max="19" width="25.42578125" bestFit="1" customWidth="1"/>
    <col min="20" max="20" width="21" bestFit="1"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13</v>
      </c>
      <c r="C2">
        <v>2020</v>
      </c>
      <c r="D2" t="s">
        <v>14</v>
      </c>
      <c r="E2">
        <v>152</v>
      </c>
      <c r="F2">
        <v>152</v>
      </c>
      <c r="G2">
        <v>11.7</v>
      </c>
      <c r="H2">
        <v>1050645</v>
      </c>
      <c r="I2">
        <v>128</v>
      </c>
      <c r="J2">
        <v>98</v>
      </c>
      <c r="K2" t="s">
        <v>15</v>
      </c>
      <c r="L2" t="s">
        <v>16</v>
      </c>
    </row>
    <row r="3" spans="1:12" x14ac:dyDescent="0.25">
      <c r="A3" t="s">
        <v>12</v>
      </c>
      <c r="B3" t="s">
        <v>17</v>
      </c>
      <c r="C3">
        <v>2020</v>
      </c>
      <c r="D3" t="s">
        <v>18</v>
      </c>
      <c r="E3">
        <v>273</v>
      </c>
      <c r="F3">
        <v>273</v>
      </c>
      <c r="G3">
        <v>3.1</v>
      </c>
      <c r="H3">
        <v>995635</v>
      </c>
      <c r="I3">
        <v>112</v>
      </c>
      <c r="J3">
        <v>93</v>
      </c>
      <c r="K3" t="s">
        <v>19</v>
      </c>
      <c r="L3" t="s">
        <v>20</v>
      </c>
    </row>
    <row r="4" spans="1:12" x14ac:dyDescent="0.25">
      <c r="A4" t="s">
        <v>12</v>
      </c>
      <c r="B4" t="s">
        <v>21</v>
      </c>
      <c r="C4">
        <v>2024</v>
      </c>
      <c r="D4" t="s">
        <v>22</v>
      </c>
      <c r="E4">
        <v>708</v>
      </c>
      <c r="F4">
        <v>541</v>
      </c>
      <c r="G4">
        <v>16.600000000000001</v>
      </c>
      <c r="H4">
        <v>2051827</v>
      </c>
      <c r="I4">
        <v>43</v>
      </c>
      <c r="J4">
        <v>71</v>
      </c>
      <c r="K4" t="s">
        <v>23</v>
      </c>
      <c r="L4" t="s">
        <v>24</v>
      </c>
    </row>
    <row r="5" spans="1:12" x14ac:dyDescent="0.25">
      <c r="A5" t="s">
        <v>25</v>
      </c>
      <c r="B5" t="s">
        <v>26</v>
      </c>
      <c r="C5">
        <v>2020</v>
      </c>
      <c r="D5" t="s">
        <v>12</v>
      </c>
      <c r="E5">
        <v>716</v>
      </c>
      <c r="F5">
        <v>97</v>
      </c>
      <c r="G5">
        <v>7.9</v>
      </c>
      <c r="H5">
        <v>1716124</v>
      </c>
      <c r="I5">
        <v>88</v>
      </c>
      <c r="J5">
        <v>75</v>
      </c>
      <c r="K5" t="s">
        <v>27</v>
      </c>
      <c r="L5" t="s">
        <v>24</v>
      </c>
    </row>
    <row r="6" spans="1:12" x14ac:dyDescent="0.25">
      <c r="A6" t="s">
        <v>12</v>
      </c>
      <c r="B6" t="s">
        <v>28</v>
      </c>
      <c r="C6">
        <v>2022</v>
      </c>
      <c r="D6" t="s">
        <v>29</v>
      </c>
      <c r="E6">
        <v>949</v>
      </c>
      <c r="F6">
        <v>132</v>
      </c>
      <c r="G6">
        <v>9</v>
      </c>
      <c r="H6">
        <v>1235791</v>
      </c>
      <c r="I6">
        <v>100</v>
      </c>
      <c r="J6">
        <v>62</v>
      </c>
      <c r="K6" t="s">
        <v>27</v>
      </c>
      <c r="L6" t="s">
        <v>30</v>
      </c>
    </row>
    <row r="7" spans="1:12" x14ac:dyDescent="0.25">
      <c r="A7" t="s">
        <v>25</v>
      </c>
      <c r="B7" t="s">
        <v>31</v>
      </c>
      <c r="C7">
        <v>2018</v>
      </c>
      <c r="D7" t="s">
        <v>32</v>
      </c>
      <c r="E7">
        <v>373</v>
      </c>
      <c r="F7">
        <v>373</v>
      </c>
      <c r="G7">
        <v>15.5</v>
      </c>
      <c r="H7">
        <v>1913863</v>
      </c>
      <c r="I7">
        <v>87</v>
      </c>
      <c r="J7">
        <v>74</v>
      </c>
      <c r="K7" t="s">
        <v>23</v>
      </c>
      <c r="L7" t="s">
        <v>20</v>
      </c>
    </row>
    <row r="8" spans="1:12" x14ac:dyDescent="0.25">
      <c r="A8" t="s">
        <v>25</v>
      </c>
      <c r="B8" t="s">
        <v>33</v>
      </c>
      <c r="C8">
        <v>2024</v>
      </c>
      <c r="D8" t="s">
        <v>34</v>
      </c>
      <c r="E8">
        <v>646</v>
      </c>
      <c r="F8">
        <v>80</v>
      </c>
      <c r="G8">
        <v>10.5</v>
      </c>
      <c r="H8">
        <v>794512</v>
      </c>
      <c r="I8">
        <v>41</v>
      </c>
      <c r="J8">
        <v>97</v>
      </c>
      <c r="K8" t="s">
        <v>15</v>
      </c>
      <c r="L8" t="s">
        <v>24</v>
      </c>
    </row>
    <row r="9" spans="1:12" x14ac:dyDescent="0.25">
      <c r="A9" t="s">
        <v>25</v>
      </c>
      <c r="B9" t="s">
        <v>35</v>
      </c>
      <c r="C9">
        <v>2020</v>
      </c>
      <c r="D9" t="s">
        <v>34</v>
      </c>
      <c r="E9">
        <v>654</v>
      </c>
      <c r="F9">
        <v>654</v>
      </c>
      <c r="G9">
        <v>11</v>
      </c>
      <c r="H9">
        <v>598179</v>
      </c>
      <c r="I9">
        <v>106</v>
      </c>
      <c r="J9">
        <v>98</v>
      </c>
      <c r="K9" t="s">
        <v>15</v>
      </c>
      <c r="L9" t="s">
        <v>24</v>
      </c>
    </row>
    <row r="10" spans="1:12" x14ac:dyDescent="0.25">
      <c r="A10" t="s">
        <v>25</v>
      </c>
      <c r="B10" t="s">
        <v>36</v>
      </c>
      <c r="C10">
        <v>2024</v>
      </c>
      <c r="D10" t="s">
        <v>14</v>
      </c>
      <c r="E10">
        <v>583</v>
      </c>
      <c r="F10">
        <v>465</v>
      </c>
      <c r="G10">
        <v>17.100000000000001</v>
      </c>
      <c r="H10">
        <v>1784103</v>
      </c>
      <c r="I10">
        <v>46</v>
      </c>
      <c r="J10">
        <v>91</v>
      </c>
      <c r="K10" t="s">
        <v>23</v>
      </c>
      <c r="L10" t="s">
        <v>37</v>
      </c>
    </row>
    <row r="11" spans="1:12" x14ac:dyDescent="0.25">
      <c r="A11" t="s">
        <v>12</v>
      </c>
      <c r="B11" t="s">
        <v>17</v>
      </c>
      <c r="C11">
        <v>2024</v>
      </c>
      <c r="D11" t="s">
        <v>12</v>
      </c>
      <c r="E11">
        <v>787</v>
      </c>
      <c r="F11">
        <v>295</v>
      </c>
      <c r="G11">
        <v>18.100000000000001</v>
      </c>
      <c r="H11">
        <v>638298</v>
      </c>
      <c r="I11">
        <v>198</v>
      </c>
      <c r="J11">
        <v>77</v>
      </c>
      <c r="K11" t="s">
        <v>23</v>
      </c>
      <c r="L11" t="s">
        <v>24</v>
      </c>
    </row>
    <row r="12" spans="1:12" x14ac:dyDescent="0.25">
      <c r="A12" t="s">
        <v>25</v>
      </c>
      <c r="B12" t="s">
        <v>21</v>
      </c>
      <c r="C12">
        <v>2020</v>
      </c>
      <c r="D12" t="s">
        <v>14</v>
      </c>
      <c r="E12">
        <v>272</v>
      </c>
      <c r="F12">
        <v>272</v>
      </c>
      <c r="G12">
        <v>7.2</v>
      </c>
      <c r="H12">
        <v>914553</v>
      </c>
      <c r="I12">
        <v>148</v>
      </c>
      <c r="J12">
        <v>94</v>
      </c>
      <c r="K12" t="s">
        <v>27</v>
      </c>
      <c r="L12" t="s">
        <v>20</v>
      </c>
    </row>
    <row r="13" spans="1:12" x14ac:dyDescent="0.25">
      <c r="A13" t="s">
        <v>25</v>
      </c>
      <c r="B13" t="s">
        <v>38</v>
      </c>
      <c r="C13">
        <v>2023</v>
      </c>
      <c r="D13" t="s">
        <v>12</v>
      </c>
      <c r="E13">
        <v>503</v>
      </c>
      <c r="F13">
        <v>503</v>
      </c>
      <c r="G13">
        <v>6.3</v>
      </c>
      <c r="H13">
        <v>1894138</v>
      </c>
      <c r="I13">
        <v>154</v>
      </c>
      <c r="J13">
        <v>64</v>
      </c>
      <c r="K13" t="s">
        <v>27</v>
      </c>
      <c r="L13" t="s">
        <v>37</v>
      </c>
    </row>
    <row r="14" spans="1:12" x14ac:dyDescent="0.25">
      <c r="A14" t="s">
        <v>12</v>
      </c>
      <c r="B14" t="s">
        <v>31</v>
      </c>
      <c r="C14">
        <v>2020</v>
      </c>
      <c r="D14" t="s">
        <v>18</v>
      </c>
      <c r="E14">
        <v>896</v>
      </c>
      <c r="F14">
        <v>424</v>
      </c>
      <c r="G14">
        <v>17.2</v>
      </c>
      <c r="H14">
        <v>646940</v>
      </c>
      <c r="I14">
        <v>61</v>
      </c>
      <c r="J14">
        <v>69</v>
      </c>
      <c r="K14" t="s">
        <v>23</v>
      </c>
      <c r="L14" t="s">
        <v>30</v>
      </c>
    </row>
    <row r="15" spans="1:12" x14ac:dyDescent="0.25">
      <c r="A15" t="s">
        <v>25</v>
      </c>
      <c r="B15" t="s">
        <v>38</v>
      </c>
      <c r="C15">
        <v>2021</v>
      </c>
      <c r="D15" t="s">
        <v>12</v>
      </c>
      <c r="E15">
        <v>612</v>
      </c>
      <c r="F15">
        <v>104</v>
      </c>
      <c r="G15">
        <v>16.3</v>
      </c>
      <c r="H15">
        <v>1953890</v>
      </c>
      <c r="I15">
        <v>40</v>
      </c>
      <c r="J15">
        <v>67</v>
      </c>
      <c r="K15" t="s">
        <v>23</v>
      </c>
      <c r="L15" t="s">
        <v>24</v>
      </c>
    </row>
    <row r="16" spans="1:12" x14ac:dyDescent="0.25">
      <c r="A16" t="s">
        <v>12</v>
      </c>
      <c r="B16" t="s">
        <v>39</v>
      </c>
      <c r="C16">
        <v>2019</v>
      </c>
      <c r="D16" t="s">
        <v>34</v>
      </c>
      <c r="E16">
        <v>378</v>
      </c>
      <c r="F16">
        <v>151</v>
      </c>
      <c r="G16">
        <v>11.5</v>
      </c>
      <c r="H16">
        <v>2343950</v>
      </c>
      <c r="I16">
        <v>129</v>
      </c>
      <c r="J16">
        <v>94</v>
      </c>
      <c r="K16" t="s">
        <v>15</v>
      </c>
      <c r="L16" t="s">
        <v>20</v>
      </c>
    </row>
    <row r="17" spans="1:12" x14ac:dyDescent="0.25">
      <c r="A17" t="s">
        <v>25</v>
      </c>
      <c r="B17" t="s">
        <v>31</v>
      </c>
      <c r="C17">
        <v>2020</v>
      </c>
      <c r="D17" t="s">
        <v>29</v>
      </c>
      <c r="E17">
        <v>819</v>
      </c>
      <c r="F17">
        <v>145</v>
      </c>
      <c r="G17">
        <v>17.7</v>
      </c>
      <c r="H17">
        <v>942193</v>
      </c>
      <c r="I17">
        <v>94</v>
      </c>
      <c r="J17">
        <v>64</v>
      </c>
      <c r="K17" t="s">
        <v>23</v>
      </c>
      <c r="L17" t="s">
        <v>30</v>
      </c>
    </row>
    <row r="18" spans="1:12" x14ac:dyDescent="0.25">
      <c r="A18" t="s">
        <v>25</v>
      </c>
      <c r="B18" t="s">
        <v>36</v>
      </c>
      <c r="C18">
        <v>2022</v>
      </c>
      <c r="D18" t="s">
        <v>32</v>
      </c>
      <c r="E18">
        <v>343</v>
      </c>
      <c r="F18">
        <v>228</v>
      </c>
      <c r="G18">
        <v>8.3000000000000007</v>
      </c>
      <c r="H18">
        <v>1987198</v>
      </c>
      <c r="I18">
        <v>187</v>
      </c>
      <c r="J18">
        <v>93</v>
      </c>
      <c r="K18" t="s">
        <v>27</v>
      </c>
      <c r="L18" t="s">
        <v>20</v>
      </c>
    </row>
    <row r="19" spans="1:12" x14ac:dyDescent="0.25">
      <c r="A19" t="s">
        <v>25</v>
      </c>
      <c r="B19" t="s">
        <v>17</v>
      </c>
      <c r="C19">
        <v>2021</v>
      </c>
      <c r="D19" t="s">
        <v>29</v>
      </c>
      <c r="E19">
        <v>203</v>
      </c>
      <c r="F19">
        <v>153</v>
      </c>
      <c r="G19">
        <v>19.100000000000001</v>
      </c>
      <c r="H19">
        <v>2496711</v>
      </c>
      <c r="I19">
        <v>96</v>
      </c>
      <c r="J19">
        <v>68</v>
      </c>
      <c r="K19" t="s">
        <v>23</v>
      </c>
      <c r="L19" t="s">
        <v>20</v>
      </c>
    </row>
    <row r="20" spans="1:12" x14ac:dyDescent="0.25">
      <c r="A20" t="s">
        <v>25</v>
      </c>
      <c r="B20" t="s">
        <v>38</v>
      </c>
      <c r="C20">
        <v>2023</v>
      </c>
      <c r="D20" t="s">
        <v>22</v>
      </c>
      <c r="E20">
        <v>961</v>
      </c>
      <c r="F20">
        <v>239</v>
      </c>
      <c r="G20">
        <v>12</v>
      </c>
      <c r="H20">
        <v>577536</v>
      </c>
      <c r="I20">
        <v>142</v>
      </c>
      <c r="J20">
        <v>73</v>
      </c>
      <c r="K20" t="s">
        <v>15</v>
      </c>
      <c r="L20" t="s">
        <v>30</v>
      </c>
    </row>
    <row r="21" spans="1:12" x14ac:dyDescent="0.25">
      <c r="A21" t="s">
        <v>25</v>
      </c>
      <c r="B21" t="s">
        <v>40</v>
      </c>
      <c r="C21">
        <v>2018</v>
      </c>
      <c r="D21" t="s">
        <v>14</v>
      </c>
      <c r="E21">
        <v>355</v>
      </c>
      <c r="F21">
        <v>355</v>
      </c>
      <c r="G21">
        <v>17.3</v>
      </c>
      <c r="H21">
        <v>1457685</v>
      </c>
      <c r="I21">
        <v>85</v>
      </c>
      <c r="J21">
        <v>82</v>
      </c>
      <c r="K21" t="s">
        <v>23</v>
      </c>
      <c r="L21" t="s">
        <v>20</v>
      </c>
    </row>
    <row r="22" spans="1:12" x14ac:dyDescent="0.25">
      <c r="A22" t="s">
        <v>25</v>
      </c>
      <c r="B22" t="s">
        <v>17</v>
      </c>
      <c r="C22">
        <v>2024</v>
      </c>
      <c r="D22" t="s">
        <v>34</v>
      </c>
      <c r="E22">
        <v>304</v>
      </c>
      <c r="F22">
        <v>304</v>
      </c>
      <c r="G22">
        <v>12.1</v>
      </c>
      <c r="H22">
        <v>2083742</v>
      </c>
      <c r="I22">
        <v>81</v>
      </c>
      <c r="J22">
        <v>81</v>
      </c>
      <c r="K22" t="s">
        <v>15</v>
      </c>
      <c r="L22" t="s">
        <v>20</v>
      </c>
    </row>
    <row r="23" spans="1:12" x14ac:dyDescent="0.25">
      <c r="A23" t="s">
        <v>12</v>
      </c>
      <c r="B23" t="s">
        <v>36</v>
      </c>
      <c r="C23">
        <v>2022</v>
      </c>
      <c r="D23" t="s">
        <v>18</v>
      </c>
      <c r="E23">
        <v>368</v>
      </c>
      <c r="F23">
        <v>368</v>
      </c>
      <c r="G23">
        <v>11.9</v>
      </c>
      <c r="H23">
        <v>1373361</v>
      </c>
      <c r="I23">
        <v>89</v>
      </c>
      <c r="J23">
        <v>78</v>
      </c>
      <c r="K23" t="s">
        <v>15</v>
      </c>
      <c r="L23" t="s">
        <v>20</v>
      </c>
    </row>
    <row r="24" spans="1:12" x14ac:dyDescent="0.25">
      <c r="A24" t="s">
        <v>12</v>
      </c>
      <c r="B24" t="s">
        <v>31</v>
      </c>
      <c r="C24">
        <v>2018</v>
      </c>
      <c r="D24" t="s">
        <v>22</v>
      </c>
      <c r="E24">
        <v>278</v>
      </c>
      <c r="F24">
        <v>105</v>
      </c>
      <c r="G24">
        <v>10.5</v>
      </c>
      <c r="H24">
        <v>2043881</v>
      </c>
      <c r="I24">
        <v>96</v>
      </c>
      <c r="J24">
        <v>67</v>
      </c>
      <c r="K24" t="s">
        <v>15</v>
      </c>
      <c r="L24" t="s">
        <v>20</v>
      </c>
    </row>
    <row r="25" spans="1:12" x14ac:dyDescent="0.25">
      <c r="A25" t="s">
        <v>25</v>
      </c>
      <c r="B25" t="s">
        <v>39</v>
      </c>
      <c r="C25">
        <v>2022</v>
      </c>
      <c r="D25" t="s">
        <v>32</v>
      </c>
      <c r="E25">
        <v>294</v>
      </c>
      <c r="F25">
        <v>294</v>
      </c>
      <c r="G25">
        <v>7.3</v>
      </c>
      <c r="H25">
        <v>1723430</v>
      </c>
      <c r="I25">
        <v>191</v>
      </c>
      <c r="J25">
        <v>65</v>
      </c>
      <c r="K25" t="s">
        <v>27</v>
      </c>
      <c r="L25" t="s">
        <v>20</v>
      </c>
    </row>
    <row r="26" spans="1:12" x14ac:dyDescent="0.25">
      <c r="A26" t="s">
        <v>12</v>
      </c>
      <c r="B26" t="s">
        <v>17</v>
      </c>
      <c r="C26">
        <v>2024</v>
      </c>
      <c r="D26" t="s">
        <v>12</v>
      </c>
      <c r="E26">
        <v>193</v>
      </c>
      <c r="F26">
        <v>193</v>
      </c>
      <c r="G26">
        <v>8.3000000000000007</v>
      </c>
      <c r="H26">
        <v>1684448</v>
      </c>
      <c r="I26">
        <v>47</v>
      </c>
      <c r="J26">
        <v>87</v>
      </c>
      <c r="K26" t="s">
        <v>27</v>
      </c>
      <c r="L26" t="s">
        <v>16</v>
      </c>
    </row>
    <row r="27" spans="1:12" x14ac:dyDescent="0.25">
      <c r="A27" t="s">
        <v>25</v>
      </c>
      <c r="B27" t="s">
        <v>36</v>
      </c>
      <c r="C27">
        <v>2023</v>
      </c>
      <c r="D27" t="s">
        <v>34</v>
      </c>
      <c r="E27">
        <v>229</v>
      </c>
      <c r="F27">
        <v>229</v>
      </c>
      <c r="G27">
        <v>9</v>
      </c>
      <c r="H27">
        <v>670643</v>
      </c>
      <c r="I27">
        <v>192</v>
      </c>
      <c r="J27">
        <v>81</v>
      </c>
      <c r="K27" t="s">
        <v>27</v>
      </c>
      <c r="L27" t="s">
        <v>20</v>
      </c>
    </row>
    <row r="28" spans="1:12" x14ac:dyDescent="0.25">
      <c r="A28" t="s">
        <v>12</v>
      </c>
      <c r="B28" t="s">
        <v>26</v>
      </c>
      <c r="C28">
        <v>2021</v>
      </c>
      <c r="D28" t="s">
        <v>18</v>
      </c>
      <c r="E28">
        <v>338</v>
      </c>
      <c r="F28">
        <v>109</v>
      </c>
      <c r="G28">
        <v>3.3</v>
      </c>
      <c r="H28">
        <v>753279</v>
      </c>
      <c r="I28">
        <v>76</v>
      </c>
      <c r="J28">
        <v>78</v>
      </c>
      <c r="K28" t="s">
        <v>19</v>
      </c>
      <c r="L28" t="s">
        <v>20</v>
      </c>
    </row>
    <row r="29" spans="1:12" x14ac:dyDescent="0.25">
      <c r="A29" t="s">
        <v>12</v>
      </c>
      <c r="B29" t="s">
        <v>39</v>
      </c>
      <c r="C29">
        <v>2022</v>
      </c>
      <c r="D29" t="s">
        <v>22</v>
      </c>
      <c r="E29">
        <v>754</v>
      </c>
      <c r="F29">
        <v>86</v>
      </c>
      <c r="G29">
        <v>8</v>
      </c>
      <c r="H29">
        <v>1150408</v>
      </c>
      <c r="I29">
        <v>53</v>
      </c>
      <c r="J29">
        <v>81</v>
      </c>
      <c r="K29" t="s">
        <v>27</v>
      </c>
      <c r="L29" t="s">
        <v>24</v>
      </c>
    </row>
    <row r="30" spans="1:12" x14ac:dyDescent="0.25">
      <c r="A30" t="s">
        <v>12</v>
      </c>
      <c r="B30" t="s">
        <v>21</v>
      </c>
      <c r="C30">
        <v>2021</v>
      </c>
      <c r="D30" t="s">
        <v>12</v>
      </c>
      <c r="E30">
        <v>624</v>
      </c>
      <c r="F30">
        <v>89</v>
      </c>
      <c r="G30">
        <v>3.8</v>
      </c>
      <c r="H30">
        <v>1193310</v>
      </c>
      <c r="I30">
        <v>103</v>
      </c>
      <c r="J30">
        <v>98</v>
      </c>
      <c r="K30" t="s">
        <v>19</v>
      </c>
      <c r="L30" t="s">
        <v>24</v>
      </c>
    </row>
    <row r="31" spans="1:12" x14ac:dyDescent="0.25">
      <c r="A31" t="s">
        <v>25</v>
      </c>
      <c r="B31" t="s">
        <v>39</v>
      </c>
      <c r="C31">
        <v>2018</v>
      </c>
      <c r="D31" t="s">
        <v>14</v>
      </c>
      <c r="E31">
        <v>270</v>
      </c>
      <c r="F31">
        <v>270</v>
      </c>
      <c r="G31">
        <v>19.3</v>
      </c>
      <c r="H31">
        <v>1135651</v>
      </c>
      <c r="I31">
        <v>154</v>
      </c>
      <c r="J31">
        <v>75</v>
      </c>
      <c r="K31" t="s">
        <v>23</v>
      </c>
      <c r="L31" t="s">
        <v>20</v>
      </c>
    </row>
    <row r="32" spans="1:12" x14ac:dyDescent="0.25">
      <c r="A32" t="s">
        <v>12</v>
      </c>
      <c r="B32" t="s">
        <v>21</v>
      </c>
      <c r="C32">
        <v>2022</v>
      </c>
      <c r="D32" t="s">
        <v>32</v>
      </c>
      <c r="E32">
        <v>421</v>
      </c>
      <c r="F32">
        <v>325</v>
      </c>
      <c r="G32">
        <v>13.4</v>
      </c>
      <c r="H32">
        <v>2163263</v>
      </c>
      <c r="I32">
        <v>124</v>
      </c>
      <c r="J32">
        <v>91</v>
      </c>
      <c r="K32" t="s">
        <v>15</v>
      </c>
      <c r="L32" t="s">
        <v>37</v>
      </c>
    </row>
    <row r="33" spans="1:12" x14ac:dyDescent="0.25">
      <c r="A33" t="s">
        <v>12</v>
      </c>
      <c r="B33" t="s">
        <v>31</v>
      </c>
      <c r="C33">
        <v>2024</v>
      </c>
      <c r="D33" t="s">
        <v>12</v>
      </c>
      <c r="E33">
        <v>269</v>
      </c>
      <c r="F33">
        <v>224</v>
      </c>
      <c r="G33">
        <v>8.9</v>
      </c>
      <c r="H33">
        <v>1810091</v>
      </c>
      <c r="I33">
        <v>89</v>
      </c>
      <c r="J33">
        <v>82</v>
      </c>
      <c r="K33" t="s">
        <v>27</v>
      </c>
      <c r="L33" t="s">
        <v>20</v>
      </c>
    </row>
    <row r="34" spans="1:12" x14ac:dyDescent="0.25">
      <c r="A34" t="s">
        <v>25</v>
      </c>
      <c r="B34" t="s">
        <v>39</v>
      </c>
      <c r="C34">
        <v>2020</v>
      </c>
      <c r="D34" t="s">
        <v>34</v>
      </c>
      <c r="E34">
        <v>926</v>
      </c>
      <c r="F34">
        <v>437</v>
      </c>
      <c r="G34">
        <v>4.3</v>
      </c>
      <c r="H34">
        <v>636733</v>
      </c>
      <c r="I34">
        <v>152</v>
      </c>
      <c r="J34">
        <v>98</v>
      </c>
      <c r="K34" t="s">
        <v>19</v>
      </c>
      <c r="L34" t="s">
        <v>30</v>
      </c>
    </row>
    <row r="35" spans="1:12" x14ac:dyDescent="0.25">
      <c r="A35" t="s">
        <v>25</v>
      </c>
      <c r="B35" t="s">
        <v>26</v>
      </c>
      <c r="C35">
        <v>2021</v>
      </c>
      <c r="D35" t="s">
        <v>22</v>
      </c>
      <c r="E35">
        <v>208</v>
      </c>
      <c r="F35">
        <v>208</v>
      </c>
      <c r="G35">
        <v>6.8</v>
      </c>
      <c r="H35">
        <v>739258</v>
      </c>
      <c r="I35">
        <v>107</v>
      </c>
      <c r="J35">
        <v>72</v>
      </c>
      <c r="K35" t="s">
        <v>27</v>
      </c>
      <c r="L35" t="s">
        <v>20</v>
      </c>
    </row>
    <row r="36" spans="1:12" x14ac:dyDescent="0.25">
      <c r="A36" t="s">
        <v>25</v>
      </c>
      <c r="B36" t="s">
        <v>28</v>
      </c>
      <c r="C36">
        <v>2022</v>
      </c>
      <c r="D36" t="s">
        <v>32</v>
      </c>
      <c r="E36">
        <v>855</v>
      </c>
      <c r="F36">
        <v>649</v>
      </c>
      <c r="G36">
        <v>17.3</v>
      </c>
      <c r="H36">
        <v>1813579</v>
      </c>
      <c r="I36">
        <v>194</v>
      </c>
      <c r="J36">
        <v>65</v>
      </c>
      <c r="K36" t="s">
        <v>23</v>
      </c>
      <c r="L36" t="s">
        <v>30</v>
      </c>
    </row>
    <row r="37" spans="1:12" x14ac:dyDescent="0.25">
      <c r="A37" t="s">
        <v>25</v>
      </c>
      <c r="B37" t="s">
        <v>40</v>
      </c>
      <c r="C37">
        <v>2024</v>
      </c>
      <c r="D37" t="s">
        <v>32</v>
      </c>
      <c r="E37">
        <v>780</v>
      </c>
      <c r="F37">
        <v>780</v>
      </c>
      <c r="G37">
        <v>16.600000000000001</v>
      </c>
      <c r="H37">
        <v>1703128</v>
      </c>
      <c r="I37">
        <v>193</v>
      </c>
      <c r="J37">
        <v>70</v>
      </c>
      <c r="K37" t="s">
        <v>23</v>
      </c>
      <c r="L37" t="s">
        <v>24</v>
      </c>
    </row>
    <row r="38" spans="1:12" x14ac:dyDescent="0.25">
      <c r="A38" t="s">
        <v>25</v>
      </c>
      <c r="B38" t="s">
        <v>31</v>
      </c>
      <c r="C38">
        <v>2023</v>
      </c>
      <c r="D38" t="s">
        <v>14</v>
      </c>
      <c r="E38">
        <v>771</v>
      </c>
      <c r="F38">
        <v>771</v>
      </c>
      <c r="G38">
        <v>6.3</v>
      </c>
      <c r="H38">
        <v>979153</v>
      </c>
      <c r="I38">
        <v>132</v>
      </c>
      <c r="J38">
        <v>66</v>
      </c>
      <c r="K38" t="s">
        <v>27</v>
      </c>
      <c r="L38" t="s">
        <v>24</v>
      </c>
    </row>
    <row r="39" spans="1:12" x14ac:dyDescent="0.25">
      <c r="A39" t="s">
        <v>25</v>
      </c>
      <c r="B39" t="s">
        <v>38</v>
      </c>
      <c r="C39">
        <v>2018</v>
      </c>
      <c r="D39" t="s">
        <v>18</v>
      </c>
      <c r="E39">
        <v>107</v>
      </c>
      <c r="F39">
        <v>53</v>
      </c>
      <c r="G39">
        <v>17.100000000000001</v>
      </c>
      <c r="H39">
        <v>1085385</v>
      </c>
      <c r="I39">
        <v>170</v>
      </c>
      <c r="J39">
        <v>94</v>
      </c>
      <c r="K39" t="s">
        <v>23</v>
      </c>
      <c r="L39" t="s">
        <v>16</v>
      </c>
    </row>
    <row r="40" spans="1:12" x14ac:dyDescent="0.25">
      <c r="A40" t="s">
        <v>12</v>
      </c>
      <c r="B40" t="s">
        <v>33</v>
      </c>
      <c r="C40">
        <v>2020</v>
      </c>
      <c r="D40" t="s">
        <v>34</v>
      </c>
      <c r="E40">
        <v>151</v>
      </c>
      <c r="F40">
        <v>151</v>
      </c>
      <c r="G40">
        <v>19</v>
      </c>
      <c r="H40">
        <v>993438</v>
      </c>
      <c r="I40">
        <v>178</v>
      </c>
      <c r="J40">
        <v>88</v>
      </c>
      <c r="K40" t="s">
        <v>23</v>
      </c>
      <c r="L40" t="s">
        <v>16</v>
      </c>
    </row>
    <row r="41" spans="1:12" x14ac:dyDescent="0.25">
      <c r="A41" t="s">
        <v>12</v>
      </c>
      <c r="B41" t="s">
        <v>38</v>
      </c>
      <c r="C41">
        <v>2021</v>
      </c>
      <c r="D41" t="s">
        <v>22</v>
      </c>
      <c r="E41">
        <v>845</v>
      </c>
      <c r="F41">
        <v>691</v>
      </c>
      <c r="G41">
        <v>15</v>
      </c>
      <c r="H41">
        <v>1454509</v>
      </c>
      <c r="I41">
        <v>109</v>
      </c>
      <c r="J41">
        <v>70</v>
      </c>
      <c r="K41" t="s">
        <v>23</v>
      </c>
      <c r="L41" t="s">
        <v>30</v>
      </c>
    </row>
    <row r="42" spans="1:12" x14ac:dyDescent="0.25">
      <c r="A42" t="s">
        <v>12</v>
      </c>
      <c r="B42" t="s">
        <v>31</v>
      </c>
      <c r="C42">
        <v>2021</v>
      </c>
      <c r="D42" t="s">
        <v>32</v>
      </c>
      <c r="E42">
        <v>850</v>
      </c>
      <c r="F42">
        <v>850</v>
      </c>
      <c r="G42">
        <v>3.1</v>
      </c>
      <c r="H42">
        <v>861650</v>
      </c>
      <c r="I42">
        <v>123</v>
      </c>
      <c r="J42">
        <v>78</v>
      </c>
      <c r="K42" t="s">
        <v>19</v>
      </c>
      <c r="L42" t="s">
        <v>30</v>
      </c>
    </row>
    <row r="43" spans="1:12" x14ac:dyDescent="0.25">
      <c r="A43" t="s">
        <v>25</v>
      </c>
      <c r="B43" t="s">
        <v>38</v>
      </c>
      <c r="C43">
        <v>2021</v>
      </c>
      <c r="D43" t="s">
        <v>14</v>
      </c>
      <c r="E43">
        <v>966</v>
      </c>
      <c r="F43">
        <v>686</v>
      </c>
      <c r="G43">
        <v>17.7</v>
      </c>
      <c r="H43">
        <v>858402</v>
      </c>
      <c r="I43">
        <v>94</v>
      </c>
      <c r="J43">
        <v>64</v>
      </c>
      <c r="K43" t="s">
        <v>23</v>
      </c>
      <c r="L43" t="s">
        <v>30</v>
      </c>
    </row>
    <row r="44" spans="1:12" x14ac:dyDescent="0.25">
      <c r="A44" t="s">
        <v>12</v>
      </c>
      <c r="B44" t="s">
        <v>17</v>
      </c>
      <c r="C44">
        <v>2022</v>
      </c>
      <c r="D44" t="s">
        <v>34</v>
      </c>
      <c r="E44">
        <v>879</v>
      </c>
      <c r="F44">
        <v>663</v>
      </c>
      <c r="G44">
        <v>4.3</v>
      </c>
      <c r="H44">
        <v>1473688</v>
      </c>
      <c r="I44">
        <v>168</v>
      </c>
      <c r="J44">
        <v>86</v>
      </c>
      <c r="K44" t="s">
        <v>19</v>
      </c>
      <c r="L44" t="s">
        <v>30</v>
      </c>
    </row>
    <row r="45" spans="1:12" x14ac:dyDescent="0.25">
      <c r="A45" t="s">
        <v>25</v>
      </c>
      <c r="B45" t="s">
        <v>28</v>
      </c>
      <c r="C45">
        <v>2022</v>
      </c>
      <c r="D45" t="s">
        <v>32</v>
      </c>
      <c r="E45">
        <v>662</v>
      </c>
      <c r="F45">
        <v>166</v>
      </c>
      <c r="G45">
        <v>14.8</v>
      </c>
      <c r="H45">
        <v>906513</v>
      </c>
      <c r="I45">
        <v>129</v>
      </c>
      <c r="J45">
        <v>75</v>
      </c>
      <c r="K45" t="s">
        <v>15</v>
      </c>
      <c r="L45" t="s">
        <v>24</v>
      </c>
    </row>
    <row r="46" spans="1:12" x14ac:dyDescent="0.25">
      <c r="A46" t="s">
        <v>25</v>
      </c>
      <c r="B46" t="s">
        <v>36</v>
      </c>
      <c r="C46">
        <v>2020</v>
      </c>
      <c r="D46" t="s">
        <v>12</v>
      </c>
      <c r="E46">
        <v>624</v>
      </c>
      <c r="F46">
        <v>419</v>
      </c>
      <c r="G46">
        <v>8.8000000000000007</v>
      </c>
      <c r="H46">
        <v>2053334</v>
      </c>
      <c r="I46">
        <v>78</v>
      </c>
      <c r="J46">
        <v>93</v>
      </c>
      <c r="K46" t="s">
        <v>27</v>
      </c>
      <c r="L46" t="s">
        <v>24</v>
      </c>
    </row>
    <row r="47" spans="1:12" x14ac:dyDescent="0.25">
      <c r="A47" t="s">
        <v>12</v>
      </c>
      <c r="B47" t="s">
        <v>13</v>
      </c>
      <c r="C47">
        <v>2022</v>
      </c>
      <c r="D47" t="s">
        <v>34</v>
      </c>
      <c r="E47">
        <v>542</v>
      </c>
      <c r="F47">
        <v>173</v>
      </c>
      <c r="G47">
        <v>15</v>
      </c>
      <c r="H47">
        <v>1901077</v>
      </c>
      <c r="I47">
        <v>175</v>
      </c>
      <c r="J47">
        <v>85</v>
      </c>
      <c r="K47" t="s">
        <v>23</v>
      </c>
      <c r="L47" t="s">
        <v>37</v>
      </c>
    </row>
    <row r="48" spans="1:12" x14ac:dyDescent="0.25">
      <c r="A48" t="s">
        <v>12</v>
      </c>
      <c r="B48" t="s">
        <v>26</v>
      </c>
      <c r="C48">
        <v>2021</v>
      </c>
      <c r="D48" t="s">
        <v>32</v>
      </c>
      <c r="E48">
        <v>676</v>
      </c>
      <c r="F48">
        <v>676</v>
      </c>
      <c r="G48">
        <v>12.7</v>
      </c>
      <c r="H48">
        <v>1405511</v>
      </c>
      <c r="I48">
        <v>146</v>
      </c>
      <c r="J48">
        <v>69</v>
      </c>
      <c r="K48" t="s">
        <v>15</v>
      </c>
      <c r="L48" t="s">
        <v>24</v>
      </c>
    </row>
    <row r="49" spans="1:12" x14ac:dyDescent="0.25">
      <c r="A49" t="s">
        <v>12</v>
      </c>
      <c r="B49" t="s">
        <v>39</v>
      </c>
      <c r="C49">
        <v>2023</v>
      </c>
      <c r="D49" t="s">
        <v>32</v>
      </c>
      <c r="E49">
        <v>114</v>
      </c>
      <c r="F49">
        <v>114</v>
      </c>
      <c r="G49">
        <v>12.2</v>
      </c>
      <c r="H49">
        <v>1558371</v>
      </c>
      <c r="I49">
        <v>167</v>
      </c>
      <c r="J49">
        <v>86</v>
      </c>
      <c r="K49" t="s">
        <v>15</v>
      </c>
      <c r="L49" t="s">
        <v>16</v>
      </c>
    </row>
    <row r="50" spans="1:12" x14ac:dyDescent="0.25">
      <c r="A50" t="s">
        <v>12</v>
      </c>
      <c r="B50" t="s">
        <v>21</v>
      </c>
      <c r="C50">
        <v>2022</v>
      </c>
      <c r="D50" t="s">
        <v>18</v>
      </c>
      <c r="E50">
        <v>567</v>
      </c>
      <c r="F50">
        <v>303</v>
      </c>
      <c r="G50">
        <v>4.2</v>
      </c>
      <c r="H50">
        <v>1001580</v>
      </c>
      <c r="I50">
        <v>179</v>
      </c>
      <c r="J50">
        <v>83</v>
      </c>
      <c r="K50" t="s">
        <v>19</v>
      </c>
      <c r="L50" t="s">
        <v>37</v>
      </c>
    </row>
    <row r="51" spans="1:12" x14ac:dyDescent="0.25">
      <c r="A51" t="s">
        <v>12</v>
      </c>
      <c r="B51" t="s">
        <v>21</v>
      </c>
      <c r="C51">
        <v>2023</v>
      </c>
      <c r="D51" t="s">
        <v>32</v>
      </c>
      <c r="E51">
        <v>106</v>
      </c>
      <c r="F51">
        <v>106</v>
      </c>
      <c r="G51">
        <v>16.100000000000001</v>
      </c>
      <c r="H51">
        <v>1962609</v>
      </c>
      <c r="I51">
        <v>181</v>
      </c>
      <c r="J51">
        <v>86</v>
      </c>
      <c r="K51" t="s">
        <v>23</v>
      </c>
      <c r="L51" t="s">
        <v>16</v>
      </c>
    </row>
    <row r="52" spans="1:12" x14ac:dyDescent="0.25">
      <c r="A52" t="s">
        <v>25</v>
      </c>
      <c r="B52" t="s">
        <v>36</v>
      </c>
      <c r="C52">
        <v>2018</v>
      </c>
      <c r="D52" t="s">
        <v>18</v>
      </c>
      <c r="E52">
        <v>284</v>
      </c>
      <c r="F52">
        <v>284</v>
      </c>
      <c r="G52">
        <v>8.1999999999999993</v>
      </c>
      <c r="H52">
        <v>1146606</v>
      </c>
      <c r="I52">
        <v>81</v>
      </c>
      <c r="J52">
        <v>97</v>
      </c>
      <c r="K52" t="s">
        <v>27</v>
      </c>
      <c r="L52" t="s">
        <v>20</v>
      </c>
    </row>
    <row r="53" spans="1:12" x14ac:dyDescent="0.25">
      <c r="A53" t="s">
        <v>12</v>
      </c>
      <c r="B53" t="s">
        <v>31</v>
      </c>
      <c r="C53">
        <v>2020</v>
      </c>
      <c r="D53" t="s">
        <v>34</v>
      </c>
      <c r="E53">
        <v>798</v>
      </c>
      <c r="F53">
        <v>702</v>
      </c>
      <c r="G53">
        <v>3.1</v>
      </c>
      <c r="H53">
        <v>1730929</v>
      </c>
      <c r="I53">
        <v>123</v>
      </c>
      <c r="J53">
        <v>71</v>
      </c>
      <c r="K53" t="s">
        <v>19</v>
      </c>
      <c r="L53" t="s">
        <v>24</v>
      </c>
    </row>
    <row r="54" spans="1:12" x14ac:dyDescent="0.25">
      <c r="A54" t="s">
        <v>25</v>
      </c>
      <c r="B54" t="s">
        <v>26</v>
      </c>
      <c r="C54">
        <v>2024</v>
      </c>
      <c r="D54" t="s">
        <v>32</v>
      </c>
      <c r="E54">
        <v>869</v>
      </c>
      <c r="F54">
        <v>466</v>
      </c>
      <c r="G54">
        <v>11.5</v>
      </c>
      <c r="H54">
        <v>1511149</v>
      </c>
      <c r="I54">
        <v>143</v>
      </c>
      <c r="J54">
        <v>62</v>
      </c>
      <c r="K54" t="s">
        <v>15</v>
      </c>
      <c r="L54" t="s">
        <v>30</v>
      </c>
    </row>
    <row r="55" spans="1:12" x14ac:dyDescent="0.25">
      <c r="A55" t="s">
        <v>12</v>
      </c>
      <c r="B55" t="s">
        <v>40</v>
      </c>
      <c r="C55">
        <v>2022</v>
      </c>
      <c r="D55" t="s">
        <v>18</v>
      </c>
      <c r="E55">
        <v>822</v>
      </c>
      <c r="F55">
        <v>200</v>
      </c>
      <c r="G55">
        <v>5.2</v>
      </c>
      <c r="H55">
        <v>1814415</v>
      </c>
      <c r="I55">
        <v>38</v>
      </c>
      <c r="J55">
        <v>82</v>
      </c>
      <c r="K55" t="s">
        <v>27</v>
      </c>
      <c r="L55" t="s">
        <v>30</v>
      </c>
    </row>
    <row r="56" spans="1:12" x14ac:dyDescent="0.25">
      <c r="A56" t="s">
        <v>12</v>
      </c>
      <c r="B56" t="s">
        <v>26</v>
      </c>
      <c r="C56">
        <v>2018</v>
      </c>
      <c r="D56" t="s">
        <v>12</v>
      </c>
      <c r="E56">
        <v>812</v>
      </c>
      <c r="F56">
        <v>781</v>
      </c>
      <c r="G56">
        <v>19.3</v>
      </c>
      <c r="H56">
        <v>2472849</v>
      </c>
      <c r="I56">
        <v>166</v>
      </c>
      <c r="J56">
        <v>81</v>
      </c>
      <c r="K56" t="s">
        <v>23</v>
      </c>
      <c r="L56" t="s">
        <v>30</v>
      </c>
    </row>
    <row r="57" spans="1:12" x14ac:dyDescent="0.25">
      <c r="A57" t="s">
        <v>12</v>
      </c>
      <c r="B57" t="s">
        <v>28</v>
      </c>
      <c r="C57">
        <v>2023</v>
      </c>
      <c r="D57" t="s">
        <v>14</v>
      </c>
      <c r="E57">
        <v>966</v>
      </c>
      <c r="F57">
        <v>369</v>
      </c>
      <c r="G57">
        <v>19.399999999999999</v>
      </c>
      <c r="H57">
        <v>810382</v>
      </c>
      <c r="I57">
        <v>94</v>
      </c>
      <c r="J57">
        <v>70</v>
      </c>
      <c r="K57" t="s">
        <v>23</v>
      </c>
      <c r="L57" t="s">
        <v>30</v>
      </c>
    </row>
    <row r="58" spans="1:12" x14ac:dyDescent="0.25">
      <c r="A58" t="s">
        <v>12</v>
      </c>
      <c r="B58" t="s">
        <v>36</v>
      </c>
      <c r="C58">
        <v>2020</v>
      </c>
      <c r="D58" t="s">
        <v>14</v>
      </c>
      <c r="E58">
        <v>177</v>
      </c>
      <c r="F58">
        <v>81</v>
      </c>
      <c r="G58">
        <v>9</v>
      </c>
      <c r="H58">
        <v>1814883</v>
      </c>
      <c r="I58">
        <v>168</v>
      </c>
      <c r="J58">
        <v>88</v>
      </c>
      <c r="K58" t="s">
        <v>27</v>
      </c>
      <c r="L58" t="s">
        <v>16</v>
      </c>
    </row>
    <row r="59" spans="1:12" x14ac:dyDescent="0.25">
      <c r="A59" t="s">
        <v>25</v>
      </c>
      <c r="B59" t="s">
        <v>13</v>
      </c>
      <c r="C59">
        <v>2021</v>
      </c>
      <c r="D59" t="s">
        <v>32</v>
      </c>
      <c r="E59">
        <v>551</v>
      </c>
      <c r="F59">
        <v>551</v>
      </c>
      <c r="G59">
        <v>19.600000000000001</v>
      </c>
      <c r="H59">
        <v>1280791</v>
      </c>
      <c r="I59">
        <v>31</v>
      </c>
      <c r="J59">
        <v>99</v>
      </c>
      <c r="K59" t="s">
        <v>23</v>
      </c>
      <c r="L59" t="s">
        <v>37</v>
      </c>
    </row>
    <row r="60" spans="1:12" x14ac:dyDescent="0.25">
      <c r="A60" t="s">
        <v>25</v>
      </c>
      <c r="B60" t="s">
        <v>31</v>
      </c>
      <c r="C60">
        <v>2019</v>
      </c>
      <c r="D60" t="s">
        <v>22</v>
      </c>
      <c r="E60">
        <v>844</v>
      </c>
      <c r="F60">
        <v>655</v>
      </c>
      <c r="G60">
        <v>19.899999999999999</v>
      </c>
      <c r="H60">
        <v>731974</v>
      </c>
      <c r="I60">
        <v>53</v>
      </c>
      <c r="J60">
        <v>63</v>
      </c>
      <c r="K60" t="s">
        <v>23</v>
      </c>
      <c r="L60" t="s">
        <v>30</v>
      </c>
    </row>
    <row r="61" spans="1:12" x14ac:dyDescent="0.25">
      <c r="A61" t="s">
        <v>25</v>
      </c>
      <c r="B61" t="s">
        <v>40</v>
      </c>
      <c r="C61">
        <v>2020</v>
      </c>
      <c r="D61" t="s">
        <v>29</v>
      </c>
      <c r="E61">
        <v>964</v>
      </c>
      <c r="F61">
        <v>759</v>
      </c>
      <c r="G61">
        <v>3</v>
      </c>
      <c r="H61">
        <v>1891357</v>
      </c>
      <c r="I61">
        <v>79</v>
      </c>
      <c r="J61">
        <v>76</v>
      </c>
      <c r="K61" t="s">
        <v>19</v>
      </c>
      <c r="L61" t="s">
        <v>30</v>
      </c>
    </row>
    <row r="62" spans="1:12" x14ac:dyDescent="0.25">
      <c r="A62" t="s">
        <v>25</v>
      </c>
      <c r="B62" t="s">
        <v>36</v>
      </c>
      <c r="C62">
        <v>2021</v>
      </c>
      <c r="D62" t="s">
        <v>22</v>
      </c>
      <c r="E62">
        <v>799</v>
      </c>
      <c r="F62">
        <v>608</v>
      </c>
      <c r="G62">
        <v>9.1999999999999993</v>
      </c>
      <c r="H62">
        <v>1970495</v>
      </c>
      <c r="I62">
        <v>199</v>
      </c>
      <c r="J62">
        <v>87</v>
      </c>
      <c r="K62" t="s">
        <v>27</v>
      </c>
      <c r="L62" t="s">
        <v>24</v>
      </c>
    </row>
    <row r="63" spans="1:12" x14ac:dyDescent="0.25">
      <c r="A63" t="s">
        <v>12</v>
      </c>
      <c r="B63" t="s">
        <v>31</v>
      </c>
      <c r="C63">
        <v>2018</v>
      </c>
      <c r="D63" t="s">
        <v>12</v>
      </c>
      <c r="E63">
        <v>550</v>
      </c>
      <c r="F63">
        <v>550</v>
      </c>
      <c r="G63">
        <v>7.2</v>
      </c>
      <c r="H63">
        <v>853184</v>
      </c>
      <c r="I63">
        <v>159</v>
      </c>
      <c r="J63">
        <v>67</v>
      </c>
      <c r="K63" t="s">
        <v>27</v>
      </c>
      <c r="L63" t="s">
        <v>37</v>
      </c>
    </row>
    <row r="64" spans="1:12" x14ac:dyDescent="0.25">
      <c r="A64" t="s">
        <v>25</v>
      </c>
      <c r="B64" t="s">
        <v>35</v>
      </c>
      <c r="C64">
        <v>2020</v>
      </c>
      <c r="D64" t="s">
        <v>14</v>
      </c>
      <c r="E64">
        <v>355</v>
      </c>
      <c r="F64">
        <v>221</v>
      </c>
      <c r="G64">
        <v>10</v>
      </c>
      <c r="H64">
        <v>2213736</v>
      </c>
      <c r="I64">
        <v>168</v>
      </c>
      <c r="J64">
        <v>70</v>
      </c>
      <c r="K64" t="s">
        <v>15</v>
      </c>
      <c r="L64" t="s">
        <v>20</v>
      </c>
    </row>
    <row r="65" spans="1:12" x14ac:dyDescent="0.25">
      <c r="A65" t="s">
        <v>25</v>
      </c>
      <c r="B65" t="s">
        <v>33</v>
      </c>
      <c r="C65">
        <v>2024</v>
      </c>
      <c r="D65" t="s">
        <v>18</v>
      </c>
      <c r="E65">
        <v>961</v>
      </c>
      <c r="F65">
        <v>265</v>
      </c>
      <c r="G65">
        <v>6</v>
      </c>
      <c r="H65">
        <v>2353760</v>
      </c>
      <c r="I65">
        <v>90</v>
      </c>
      <c r="J65">
        <v>94</v>
      </c>
      <c r="K65" t="s">
        <v>27</v>
      </c>
      <c r="L65" t="s">
        <v>30</v>
      </c>
    </row>
    <row r="66" spans="1:12" x14ac:dyDescent="0.25">
      <c r="A66" t="s">
        <v>12</v>
      </c>
      <c r="B66" t="s">
        <v>35</v>
      </c>
      <c r="C66">
        <v>2022</v>
      </c>
      <c r="D66" t="s">
        <v>12</v>
      </c>
      <c r="E66">
        <v>216</v>
      </c>
      <c r="F66">
        <v>216</v>
      </c>
      <c r="G66">
        <v>16.2</v>
      </c>
      <c r="H66">
        <v>560724</v>
      </c>
      <c r="I66">
        <v>165</v>
      </c>
      <c r="J66">
        <v>72</v>
      </c>
      <c r="K66" t="s">
        <v>23</v>
      </c>
      <c r="L66" t="s">
        <v>20</v>
      </c>
    </row>
    <row r="67" spans="1:12" x14ac:dyDescent="0.25">
      <c r="A67" t="s">
        <v>12</v>
      </c>
      <c r="B67" t="s">
        <v>28</v>
      </c>
      <c r="C67">
        <v>2022</v>
      </c>
      <c r="D67" t="s">
        <v>34</v>
      </c>
      <c r="E67">
        <v>194</v>
      </c>
      <c r="F67">
        <v>194</v>
      </c>
      <c r="G67">
        <v>13</v>
      </c>
      <c r="H67">
        <v>1176212</v>
      </c>
      <c r="I67">
        <v>177</v>
      </c>
      <c r="J67">
        <v>99</v>
      </c>
      <c r="K67" t="s">
        <v>15</v>
      </c>
      <c r="L67" t="s">
        <v>16</v>
      </c>
    </row>
    <row r="68" spans="1:12" x14ac:dyDescent="0.25">
      <c r="A68" t="s">
        <v>12</v>
      </c>
      <c r="B68" t="s">
        <v>39</v>
      </c>
      <c r="C68">
        <v>2019</v>
      </c>
      <c r="D68" t="s">
        <v>32</v>
      </c>
      <c r="E68">
        <v>673</v>
      </c>
      <c r="F68">
        <v>72</v>
      </c>
      <c r="G68">
        <v>19.899999999999999</v>
      </c>
      <c r="H68">
        <v>2121182</v>
      </c>
      <c r="I68">
        <v>41</v>
      </c>
      <c r="J68">
        <v>70</v>
      </c>
      <c r="K68" t="s">
        <v>23</v>
      </c>
      <c r="L68" t="s">
        <v>24</v>
      </c>
    </row>
    <row r="69" spans="1:12" x14ac:dyDescent="0.25">
      <c r="A69" t="s">
        <v>25</v>
      </c>
      <c r="B69" t="s">
        <v>31</v>
      </c>
      <c r="C69">
        <v>2020</v>
      </c>
      <c r="D69" t="s">
        <v>18</v>
      </c>
      <c r="E69">
        <v>297</v>
      </c>
      <c r="F69">
        <v>297</v>
      </c>
      <c r="G69">
        <v>5</v>
      </c>
      <c r="H69">
        <v>1665783</v>
      </c>
      <c r="I69">
        <v>102</v>
      </c>
      <c r="J69">
        <v>80</v>
      </c>
      <c r="K69" t="s">
        <v>27</v>
      </c>
      <c r="L69" t="s">
        <v>20</v>
      </c>
    </row>
    <row r="70" spans="1:12" x14ac:dyDescent="0.25">
      <c r="A70" t="s">
        <v>12</v>
      </c>
      <c r="B70" t="s">
        <v>36</v>
      </c>
      <c r="C70">
        <v>2022</v>
      </c>
      <c r="D70" t="s">
        <v>18</v>
      </c>
      <c r="E70">
        <v>709</v>
      </c>
      <c r="F70">
        <v>371</v>
      </c>
      <c r="G70">
        <v>9.3000000000000007</v>
      </c>
      <c r="H70">
        <v>1679416</v>
      </c>
      <c r="I70">
        <v>46</v>
      </c>
      <c r="J70">
        <v>99</v>
      </c>
      <c r="K70" t="s">
        <v>27</v>
      </c>
      <c r="L70" t="s">
        <v>24</v>
      </c>
    </row>
    <row r="71" spans="1:12" x14ac:dyDescent="0.25">
      <c r="A71" t="s">
        <v>25</v>
      </c>
      <c r="B71" t="s">
        <v>39</v>
      </c>
      <c r="C71">
        <v>2018</v>
      </c>
      <c r="D71" t="s">
        <v>34</v>
      </c>
      <c r="E71">
        <v>262</v>
      </c>
      <c r="F71">
        <v>262</v>
      </c>
      <c r="G71">
        <v>6.9</v>
      </c>
      <c r="H71">
        <v>1498822</v>
      </c>
      <c r="I71">
        <v>113</v>
      </c>
      <c r="J71">
        <v>97</v>
      </c>
      <c r="K71" t="s">
        <v>27</v>
      </c>
      <c r="L71" t="s">
        <v>20</v>
      </c>
    </row>
    <row r="72" spans="1:12" x14ac:dyDescent="0.25">
      <c r="A72" t="s">
        <v>12</v>
      </c>
      <c r="B72" t="s">
        <v>13</v>
      </c>
      <c r="C72">
        <v>2018</v>
      </c>
      <c r="D72" t="s">
        <v>34</v>
      </c>
      <c r="E72">
        <v>294</v>
      </c>
      <c r="F72">
        <v>294</v>
      </c>
      <c r="G72">
        <v>9.4</v>
      </c>
      <c r="H72">
        <v>801207</v>
      </c>
      <c r="I72">
        <v>189</v>
      </c>
      <c r="J72">
        <v>76</v>
      </c>
      <c r="K72" t="s">
        <v>27</v>
      </c>
      <c r="L72" t="s">
        <v>20</v>
      </c>
    </row>
    <row r="73" spans="1:12" x14ac:dyDescent="0.25">
      <c r="A73" t="s">
        <v>12</v>
      </c>
      <c r="B73" t="s">
        <v>40</v>
      </c>
      <c r="C73">
        <v>2023</v>
      </c>
      <c r="D73" t="s">
        <v>29</v>
      </c>
      <c r="E73">
        <v>141</v>
      </c>
      <c r="F73">
        <v>141</v>
      </c>
      <c r="G73">
        <v>13.5</v>
      </c>
      <c r="H73">
        <v>2485898</v>
      </c>
      <c r="I73">
        <v>63</v>
      </c>
      <c r="J73">
        <v>94</v>
      </c>
      <c r="K73" t="s">
        <v>15</v>
      </c>
      <c r="L73" t="s">
        <v>16</v>
      </c>
    </row>
    <row r="74" spans="1:12" x14ac:dyDescent="0.25">
      <c r="A74" t="s">
        <v>12</v>
      </c>
      <c r="B74" t="s">
        <v>28</v>
      </c>
      <c r="C74">
        <v>2022</v>
      </c>
      <c r="D74" t="s">
        <v>14</v>
      </c>
      <c r="E74">
        <v>124</v>
      </c>
      <c r="F74">
        <v>79</v>
      </c>
      <c r="G74">
        <v>19.899999999999999</v>
      </c>
      <c r="H74">
        <v>772022</v>
      </c>
      <c r="I74">
        <v>198</v>
      </c>
      <c r="J74">
        <v>98</v>
      </c>
      <c r="K74" t="s">
        <v>23</v>
      </c>
      <c r="L74" t="s">
        <v>16</v>
      </c>
    </row>
    <row r="75" spans="1:12" x14ac:dyDescent="0.25">
      <c r="A75" t="s">
        <v>25</v>
      </c>
      <c r="B75" t="s">
        <v>21</v>
      </c>
      <c r="C75">
        <v>2021</v>
      </c>
      <c r="D75" t="s">
        <v>32</v>
      </c>
      <c r="E75">
        <v>407</v>
      </c>
      <c r="F75">
        <v>407</v>
      </c>
      <c r="G75">
        <v>8.8000000000000007</v>
      </c>
      <c r="H75">
        <v>2024904</v>
      </c>
      <c r="I75">
        <v>176</v>
      </c>
      <c r="J75">
        <v>81</v>
      </c>
      <c r="K75" t="s">
        <v>27</v>
      </c>
      <c r="L75" t="s">
        <v>37</v>
      </c>
    </row>
    <row r="76" spans="1:12" x14ac:dyDescent="0.25">
      <c r="A76" t="s">
        <v>25</v>
      </c>
      <c r="B76" t="s">
        <v>28</v>
      </c>
      <c r="C76">
        <v>2018</v>
      </c>
      <c r="D76" t="s">
        <v>34</v>
      </c>
      <c r="E76">
        <v>939</v>
      </c>
      <c r="F76">
        <v>751</v>
      </c>
      <c r="G76">
        <v>9.1</v>
      </c>
      <c r="H76">
        <v>2395283</v>
      </c>
      <c r="I76">
        <v>98</v>
      </c>
      <c r="J76">
        <v>80</v>
      </c>
      <c r="K76" t="s">
        <v>27</v>
      </c>
      <c r="L76" t="s">
        <v>30</v>
      </c>
    </row>
    <row r="77" spans="1:12" x14ac:dyDescent="0.25">
      <c r="A77" t="s">
        <v>12</v>
      </c>
      <c r="B77" t="s">
        <v>33</v>
      </c>
      <c r="C77">
        <v>2018</v>
      </c>
      <c r="D77" t="s">
        <v>32</v>
      </c>
      <c r="E77">
        <v>678</v>
      </c>
      <c r="F77">
        <v>430</v>
      </c>
      <c r="G77">
        <v>11.5</v>
      </c>
      <c r="H77">
        <v>1230458</v>
      </c>
      <c r="I77">
        <v>120</v>
      </c>
      <c r="J77">
        <v>63</v>
      </c>
      <c r="K77" t="s">
        <v>15</v>
      </c>
      <c r="L77" t="s">
        <v>24</v>
      </c>
    </row>
    <row r="78" spans="1:12" x14ac:dyDescent="0.25">
      <c r="A78" t="s">
        <v>25</v>
      </c>
      <c r="B78" t="s">
        <v>26</v>
      </c>
      <c r="C78">
        <v>2023</v>
      </c>
      <c r="D78" t="s">
        <v>29</v>
      </c>
      <c r="E78">
        <v>989</v>
      </c>
      <c r="F78">
        <v>91</v>
      </c>
      <c r="G78">
        <v>18.2</v>
      </c>
      <c r="H78">
        <v>2014177</v>
      </c>
      <c r="I78">
        <v>166</v>
      </c>
      <c r="J78">
        <v>92</v>
      </c>
      <c r="K78" t="s">
        <v>23</v>
      </c>
      <c r="L78" t="s">
        <v>30</v>
      </c>
    </row>
    <row r="79" spans="1:12" x14ac:dyDescent="0.25">
      <c r="A79" t="s">
        <v>25</v>
      </c>
      <c r="B79" t="s">
        <v>31</v>
      </c>
      <c r="C79">
        <v>2024</v>
      </c>
      <c r="D79" t="s">
        <v>32</v>
      </c>
      <c r="E79">
        <v>881</v>
      </c>
      <c r="F79">
        <v>325</v>
      </c>
      <c r="G79">
        <v>11</v>
      </c>
      <c r="H79">
        <v>1102844</v>
      </c>
      <c r="I79">
        <v>92</v>
      </c>
      <c r="J79">
        <v>83</v>
      </c>
      <c r="K79" t="s">
        <v>15</v>
      </c>
      <c r="L79" t="s">
        <v>30</v>
      </c>
    </row>
    <row r="80" spans="1:12" x14ac:dyDescent="0.25">
      <c r="A80" t="s">
        <v>25</v>
      </c>
      <c r="B80" t="s">
        <v>17</v>
      </c>
      <c r="C80">
        <v>2021</v>
      </c>
      <c r="D80" t="s">
        <v>12</v>
      </c>
      <c r="E80">
        <v>113</v>
      </c>
      <c r="F80">
        <v>113</v>
      </c>
      <c r="G80">
        <v>9.1999999999999993</v>
      </c>
      <c r="H80">
        <v>1943470</v>
      </c>
      <c r="I80">
        <v>169</v>
      </c>
      <c r="J80">
        <v>93</v>
      </c>
      <c r="K80" t="s">
        <v>27</v>
      </c>
      <c r="L80" t="s">
        <v>16</v>
      </c>
    </row>
    <row r="81" spans="1:12" x14ac:dyDescent="0.25">
      <c r="A81" t="s">
        <v>25</v>
      </c>
      <c r="B81" t="s">
        <v>35</v>
      </c>
      <c r="C81">
        <v>2019</v>
      </c>
      <c r="D81" t="s">
        <v>32</v>
      </c>
      <c r="E81">
        <v>443</v>
      </c>
      <c r="F81">
        <v>443</v>
      </c>
      <c r="G81">
        <v>5.9</v>
      </c>
      <c r="H81">
        <v>1528422</v>
      </c>
      <c r="I81">
        <v>127</v>
      </c>
      <c r="J81">
        <v>62</v>
      </c>
      <c r="K81" t="s">
        <v>27</v>
      </c>
      <c r="L81" t="s">
        <v>37</v>
      </c>
    </row>
    <row r="82" spans="1:12" x14ac:dyDescent="0.25">
      <c r="A82" t="s">
        <v>12</v>
      </c>
      <c r="B82" t="s">
        <v>36</v>
      </c>
      <c r="C82">
        <v>2019</v>
      </c>
      <c r="D82" t="s">
        <v>34</v>
      </c>
      <c r="E82">
        <v>391</v>
      </c>
      <c r="F82">
        <v>328</v>
      </c>
      <c r="G82">
        <v>7.3</v>
      </c>
      <c r="H82">
        <v>756601</v>
      </c>
      <c r="I82">
        <v>65</v>
      </c>
      <c r="J82">
        <v>92</v>
      </c>
      <c r="K82" t="s">
        <v>27</v>
      </c>
      <c r="L82" t="s">
        <v>20</v>
      </c>
    </row>
    <row r="83" spans="1:12" x14ac:dyDescent="0.25">
      <c r="A83" t="s">
        <v>12</v>
      </c>
      <c r="B83" t="s">
        <v>17</v>
      </c>
      <c r="C83">
        <v>2019</v>
      </c>
      <c r="D83" t="s">
        <v>12</v>
      </c>
      <c r="E83">
        <v>455</v>
      </c>
      <c r="F83">
        <v>455</v>
      </c>
      <c r="G83">
        <v>19.399999999999999</v>
      </c>
      <c r="H83">
        <v>1976097</v>
      </c>
      <c r="I83">
        <v>127</v>
      </c>
      <c r="J83">
        <v>97</v>
      </c>
      <c r="K83" t="s">
        <v>23</v>
      </c>
      <c r="L83" t="s">
        <v>37</v>
      </c>
    </row>
    <row r="84" spans="1:12" x14ac:dyDescent="0.25">
      <c r="A84" t="s">
        <v>12</v>
      </c>
      <c r="B84" t="s">
        <v>28</v>
      </c>
      <c r="C84">
        <v>2024</v>
      </c>
      <c r="D84" t="s">
        <v>12</v>
      </c>
      <c r="E84">
        <v>997</v>
      </c>
      <c r="F84">
        <v>358</v>
      </c>
      <c r="G84">
        <v>6.1</v>
      </c>
      <c r="H84">
        <v>2376485</v>
      </c>
      <c r="I84">
        <v>192</v>
      </c>
      <c r="J84">
        <v>74</v>
      </c>
      <c r="K84" t="s">
        <v>27</v>
      </c>
      <c r="L84" t="s">
        <v>30</v>
      </c>
    </row>
    <row r="85" spans="1:12" x14ac:dyDescent="0.25">
      <c r="A85" t="s">
        <v>25</v>
      </c>
      <c r="B85" t="s">
        <v>21</v>
      </c>
      <c r="C85">
        <v>2019</v>
      </c>
      <c r="D85" t="s">
        <v>18</v>
      </c>
      <c r="E85">
        <v>189</v>
      </c>
      <c r="F85">
        <v>189</v>
      </c>
      <c r="G85">
        <v>5</v>
      </c>
      <c r="H85">
        <v>816666</v>
      </c>
      <c r="I85">
        <v>112</v>
      </c>
      <c r="J85">
        <v>86</v>
      </c>
      <c r="K85" t="s">
        <v>27</v>
      </c>
      <c r="L85" t="s">
        <v>16</v>
      </c>
    </row>
    <row r="86" spans="1:12" x14ac:dyDescent="0.25">
      <c r="A86" t="s">
        <v>25</v>
      </c>
      <c r="B86" t="s">
        <v>21</v>
      </c>
      <c r="C86">
        <v>2020</v>
      </c>
      <c r="D86" t="s">
        <v>12</v>
      </c>
      <c r="E86">
        <v>883</v>
      </c>
      <c r="F86">
        <v>158</v>
      </c>
      <c r="G86">
        <v>7.5</v>
      </c>
      <c r="H86">
        <v>1683422</v>
      </c>
      <c r="I86">
        <v>127</v>
      </c>
      <c r="J86">
        <v>83</v>
      </c>
      <c r="K86" t="s">
        <v>27</v>
      </c>
      <c r="L86" t="s">
        <v>30</v>
      </c>
    </row>
    <row r="87" spans="1:12" x14ac:dyDescent="0.25">
      <c r="A87" t="s">
        <v>25</v>
      </c>
      <c r="B87" t="s">
        <v>35</v>
      </c>
      <c r="C87">
        <v>2022</v>
      </c>
      <c r="D87" t="s">
        <v>29</v>
      </c>
      <c r="E87">
        <v>202</v>
      </c>
      <c r="F87">
        <v>202</v>
      </c>
      <c r="G87">
        <v>4.0999999999999996</v>
      </c>
      <c r="H87">
        <v>817129</v>
      </c>
      <c r="I87">
        <v>45</v>
      </c>
      <c r="J87">
        <v>78</v>
      </c>
      <c r="K87" t="s">
        <v>19</v>
      </c>
      <c r="L87" t="s">
        <v>20</v>
      </c>
    </row>
    <row r="88" spans="1:12" x14ac:dyDescent="0.25">
      <c r="A88" t="s">
        <v>25</v>
      </c>
      <c r="B88" t="s">
        <v>28</v>
      </c>
      <c r="C88">
        <v>2019</v>
      </c>
      <c r="D88" t="s">
        <v>12</v>
      </c>
      <c r="E88">
        <v>401</v>
      </c>
      <c r="F88">
        <v>401</v>
      </c>
      <c r="G88">
        <v>4.0999999999999996</v>
      </c>
      <c r="H88">
        <v>1247068</v>
      </c>
      <c r="I88">
        <v>95</v>
      </c>
      <c r="J88">
        <v>75</v>
      </c>
      <c r="K88" t="s">
        <v>19</v>
      </c>
      <c r="L88" t="s">
        <v>37</v>
      </c>
    </row>
    <row r="89" spans="1:12" x14ac:dyDescent="0.25">
      <c r="A89" t="s">
        <v>25</v>
      </c>
      <c r="B89" t="s">
        <v>26</v>
      </c>
      <c r="C89">
        <v>2019</v>
      </c>
      <c r="D89" t="s">
        <v>22</v>
      </c>
      <c r="E89">
        <v>600</v>
      </c>
      <c r="F89">
        <v>227</v>
      </c>
      <c r="G89">
        <v>3.1</v>
      </c>
      <c r="H89">
        <v>2362675</v>
      </c>
      <c r="I89">
        <v>169</v>
      </c>
      <c r="J89">
        <v>65</v>
      </c>
      <c r="K89" t="s">
        <v>19</v>
      </c>
      <c r="L89" t="s">
        <v>24</v>
      </c>
    </row>
    <row r="90" spans="1:12" x14ac:dyDescent="0.25">
      <c r="A90" t="s">
        <v>25</v>
      </c>
      <c r="B90" t="s">
        <v>40</v>
      </c>
      <c r="C90">
        <v>2019</v>
      </c>
      <c r="D90" t="s">
        <v>18</v>
      </c>
      <c r="E90">
        <v>123</v>
      </c>
      <c r="F90">
        <v>123</v>
      </c>
      <c r="G90">
        <v>18</v>
      </c>
      <c r="H90">
        <v>1089878</v>
      </c>
      <c r="I90">
        <v>170</v>
      </c>
      <c r="J90">
        <v>70</v>
      </c>
      <c r="K90" t="s">
        <v>23</v>
      </c>
      <c r="L90" t="s">
        <v>16</v>
      </c>
    </row>
    <row r="91" spans="1:12" x14ac:dyDescent="0.25">
      <c r="A91" t="s">
        <v>12</v>
      </c>
      <c r="B91" t="s">
        <v>28</v>
      </c>
      <c r="C91">
        <v>2021</v>
      </c>
      <c r="D91" t="s">
        <v>34</v>
      </c>
      <c r="E91">
        <v>526</v>
      </c>
      <c r="F91">
        <v>495</v>
      </c>
      <c r="G91">
        <v>16</v>
      </c>
      <c r="H91">
        <v>1256584</v>
      </c>
      <c r="I91">
        <v>140</v>
      </c>
      <c r="J91">
        <v>78</v>
      </c>
      <c r="K91" t="s">
        <v>23</v>
      </c>
      <c r="L91" t="s">
        <v>37</v>
      </c>
    </row>
    <row r="92" spans="1:12" x14ac:dyDescent="0.25">
      <c r="A92" t="s">
        <v>25</v>
      </c>
      <c r="B92" t="s">
        <v>35</v>
      </c>
      <c r="C92">
        <v>2024</v>
      </c>
      <c r="D92" t="s">
        <v>22</v>
      </c>
      <c r="E92">
        <v>225</v>
      </c>
      <c r="F92">
        <v>225</v>
      </c>
      <c r="G92">
        <v>7.7</v>
      </c>
      <c r="H92">
        <v>582124</v>
      </c>
      <c r="I92">
        <v>186</v>
      </c>
      <c r="J92">
        <v>91</v>
      </c>
      <c r="K92" t="s">
        <v>27</v>
      </c>
      <c r="L92" t="s">
        <v>20</v>
      </c>
    </row>
    <row r="93" spans="1:12" x14ac:dyDescent="0.25">
      <c r="A93" t="s">
        <v>25</v>
      </c>
      <c r="B93" t="s">
        <v>28</v>
      </c>
      <c r="C93">
        <v>2024</v>
      </c>
      <c r="D93" t="s">
        <v>34</v>
      </c>
      <c r="E93">
        <v>429</v>
      </c>
      <c r="F93">
        <v>422</v>
      </c>
      <c r="G93">
        <v>9.5</v>
      </c>
      <c r="H93">
        <v>537208</v>
      </c>
      <c r="I93">
        <v>92</v>
      </c>
      <c r="J93">
        <v>83</v>
      </c>
      <c r="K93" t="s">
        <v>27</v>
      </c>
      <c r="L93" t="s">
        <v>37</v>
      </c>
    </row>
    <row r="94" spans="1:12" x14ac:dyDescent="0.25">
      <c r="A94" t="s">
        <v>25</v>
      </c>
      <c r="B94" t="s">
        <v>38</v>
      </c>
      <c r="C94">
        <v>2021</v>
      </c>
      <c r="D94" t="s">
        <v>34</v>
      </c>
      <c r="E94">
        <v>131</v>
      </c>
      <c r="F94">
        <v>131</v>
      </c>
      <c r="G94">
        <v>5.6</v>
      </c>
      <c r="H94">
        <v>1617598</v>
      </c>
      <c r="I94">
        <v>137</v>
      </c>
      <c r="J94">
        <v>92</v>
      </c>
      <c r="K94" t="s">
        <v>27</v>
      </c>
      <c r="L94" t="s">
        <v>16</v>
      </c>
    </row>
    <row r="95" spans="1:12" x14ac:dyDescent="0.25">
      <c r="A95" t="s">
        <v>12</v>
      </c>
      <c r="B95" t="s">
        <v>21</v>
      </c>
      <c r="C95">
        <v>2018</v>
      </c>
      <c r="D95" t="s">
        <v>12</v>
      </c>
      <c r="E95">
        <v>503</v>
      </c>
      <c r="F95">
        <v>503</v>
      </c>
      <c r="G95">
        <v>4.5</v>
      </c>
      <c r="H95">
        <v>1684704</v>
      </c>
      <c r="I95">
        <v>54</v>
      </c>
      <c r="J95">
        <v>83</v>
      </c>
      <c r="K95" t="s">
        <v>19</v>
      </c>
      <c r="L95" t="s">
        <v>37</v>
      </c>
    </row>
    <row r="96" spans="1:12" x14ac:dyDescent="0.25">
      <c r="A96" t="s">
        <v>12</v>
      </c>
      <c r="B96" t="s">
        <v>36</v>
      </c>
      <c r="C96">
        <v>2018</v>
      </c>
      <c r="D96" t="s">
        <v>22</v>
      </c>
      <c r="E96">
        <v>191</v>
      </c>
      <c r="F96">
        <v>191</v>
      </c>
      <c r="G96">
        <v>13.9</v>
      </c>
      <c r="H96">
        <v>2056764</v>
      </c>
      <c r="I96">
        <v>153</v>
      </c>
      <c r="J96">
        <v>75</v>
      </c>
      <c r="K96" t="s">
        <v>15</v>
      </c>
      <c r="L96" t="s">
        <v>16</v>
      </c>
    </row>
    <row r="97" spans="1:12" x14ac:dyDescent="0.25">
      <c r="A97" t="s">
        <v>12</v>
      </c>
      <c r="B97" t="s">
        <v>21</v>
      </c>
      <c r="C97">
        <v>2023</v>
      </c>
      <c r="D97" t="s">
        <v>12</v>
      </c>
      <c r="E97">
        <v>229</v>
      </c>
      <c r="F97">
        <v>229</v>
      </c>
      <c r="G97">
        <v>5.9</v>
      </c>
      <c r="H97">
        <v>837328</v>
      </c>
      <c r="I97">
        <v>94</v>
      </c>
      <c r="J97">
        <v>62</v>
      </c>
      <c r="K97" t="s">
        <v>27</v>
      </c>
      <c r="L97" t="s">
        <v>20</v>
      </c>
    </row>
    <row r="98" spans="1:12" x14ac:dyDescent="0.25">
      <c r="A98" t="s">
        <v>12</v>
      </c>
      <c r="B98" t="s">
        <v>40</v>
      </c>
      <c r="C98">
        <v>2019</v>
      </c>
      <c r="D98" t="s">
        <v>14</v>
      </c>
      <c r="E98">
        <v>324</v>
      </c>
      <c r="F98">
        <v>324</v>
      </c>
      <c r="G98">
        <v>8.9</v>
      </c>
      <c r="H98">
        <v>511770</v>
      </c>
      <c r="I98">
        <v>125</v>
      </c>
      <c r="J98">
        <v>75</v>
      </c>
      <c r="K98" t="s">
        <v>27</v>
      </c>
      <c r="L98" t="s">
        <v>20</v>
      </c>
    </row>
    <row r="99" spans="1:12" x14ac:dyDescent="0.25">
      <c r="A99" t="s">
        <v>25</v>
      </c>
      <c r="B99" t="s">
        <v>13</v>
      </c>
      <c r="C99">
        <v>2018</v>
      </c>
      <c r="D99" t="s">
        <v>34</v>
      </c>
      <c r="E99">
        <v>565</v>
      </c>
      <c r="F99">
        <v>565</v>
      </c>
      <c r="G99">
        <v>16.8</v>
      </c>
      <c r="H99">
        <v>1960762</v>
      </c>
      <c r="I99">
        <v>47</v>
      </c>
      <c r="J99">
        <v>79</v>
      </c>
      <c r="K99" t="s">
        <v>23</v>
      </c>
      <c r="L99" t="s">
        <v>37</v>
      </c>
    </row>
    <row r="100" spans="1:12" x14ac:dyDescent="0.25">
      <c r="A100" t="s">
        <v>25</v>
      </c>
      <c r="B100" t="s">
        <v>28</v>
      </c>
      <c r="C100">
        <v>2018</v>
      </c>
      <c r="D100" t="s">
        <v>14</v>
      </c>
      <c r="E100">
        <v>828</v>
      </c>
      <c r="F100">
        <v>212</v>
      </c>
      <c r="G100">
        <v>13</v>
      </c>
      <c r="H100">
        <v>2410635</v>
      </c>
      <c r="I100">
        <v>124</v>
      </c>
      <c r="J100">
        <v>62</v>
      </c>
      <c r="K100" t="s">
        <v>15</v>
      </c>
      <c r="L100" t="s">
        <v>30</v>
      </c>
    </row>
    <row r="101" spans="1:12" x14ac:dyDescent="0.25">
      <c r="A101" t="s">
        <v>25</v>
      </c>
      <c r="B101" t="s">
        <v>38</v>
      </c>
      <c r="C101">
        <v>2024</v>
      </c>
      <c r="D101" t="s">
        <v>32</v>
      </c>
      <c r="E101">
        <v>671</v>
      </c>
      <c r="F101">
        <v>356</v>
      </c>
      <c r="G101">
        <v>10.7</v>
      </c>
      <c r="H101">
        <v>846937</v>
      </c>
      <c r="I101">
        <v>125</v>
      </c>
      <c r="J101">
        <v>94</v>
      </c>
      <c r="K101" t="s">
        <v>15</v>
      </c>
      <c r="L101" t="s">
        <v>24</v>
      </c>
    </row>
    <row r="102" spans="1:12" x14ac:dyDescent="0.25">
      <c r="A102" t="s">
        <v>12</v>
      </c>
      <c r="B102" t="s">
        <v>21</v>
      </c>
      <c r="C102">
        <v>2022</v>
      </c>
      <c r="D102" t="s">
        <v>12</v>
      </c>
      <c r="E102">
        <v>710</v>
      </c>
      <c r="F102">
        <v>710</v>
      </c>
      <c r="G102">
        <v>8</v>
      </c>
      <c r="H102">
        <v>1942228</v>
      </c>
      <c r="I102">
        <v>123</v>
      </c>
      <c r="J102">
        <v>82</v>
      </c>
      <c r="K102" t="s">
        <v>27</v>
      </c>
      <c r="L102" t="s">
        <v>24</v>
      </c>
    </row>
    <row r="103" spans="1:12" x14ac:dyDescent="0.25">
      <c r="A103" t="s">
        <v>25</v>
      </c>
      <c r="B103" t="s">
        <v>36</v>
      </c>
      <c r="C103">
        <v>2018</v>
      </c>
      <c r="D103" t="s">
        <v>14</v>
      </c>
      <c r="E103">
        <v>257</v>
      </c>
      <c r="F103">
        <v>257</v>
      </c>
      <c r="G103">
        <v>4.9000000000000004</v>
      </c>
      <c r="H103">
        <v>996782</v>
      </c>
      <c r="I103">
        <v>59</v>
      </c>
      <c r="J103">
        <v>77</v>
      </c>
      <c r="K103" t="s">
        <v>19</v>
      </c>
      <c r="L103" t="s">
        <v>20</v>
      </c>
    </row>
    <row r="104" spans="1:12" x14ac:dyDescent="0.25">
      <c r="A104" t="s">
        <v>12</v>
      </c>
      <c r="B104" t="s">
        <v>26</v>
      </c>
      <c r="C104">
        <v>2024</v>
      </c>
      <c r="D104" t="s">
        <v>14</v>
      </c>
      <c r="E104">
        <v>465</v>
      </c>
      <c r="F104">
        <v>465</v>
      </c>
      <c r="G104">
        <v>15.1</v>
      </c>
      <c r="H104">
        <v>1423196</v>
      </c>
      <c r="I104">
        <v>58</v>
      </c>
      <c r="J104">
        <v>68</v>
      </c>
      <c r="K104" t="s">
        <v>23</v>
      </c>
      <c r="L104" t="s">
        <v>37</v>
      </c>
    </row>
    <row r="105" spans="1:12" x14ac:dyDescent="0.25">
      <c r="A105" t="s">
        <v>12</v>
      </c>
      <c r="B105" t="s">
        <v>13</v>
      </c>
      <c r="C105">
        <v>2022</v>
      </c>
      <c r="D105" t="s">
        <v>32</v>
      </c>
      <c r="E105">
        <v>322</v>
      </c>
      <c r="F105">
        <v>322</v>
      </c>
      <c r="G105">
        <v>12.6</v>
      </c>
      <c r="H105">
        <v>1879492</v>
      </c>
      <c r="I105">
        <v>191</v>
      </c>
      <c r="J105">
        <v>89</v>
      </c>
      <c r="K105" t="s">
        <v>15</v>
      </c>
      <c r="L105" t="s">
        <v>20</v>
      </c>
    </row>
    <row r="106" spans="1:12" x14ac:dyDescent="0.25">
      <c r="A106" t="s">
        <v>25</v>
      </c>
      <c r="B106" t="s">
        <v>21</v>
      </c>
      <c r="C106">
        <v>2022</v>
      </c>
      <c r="D106" t="s">
        <v>14</v>
      </c>
      <c r="E106">
        <v>422</v>
      </c>
      <c r="F106">
        <v>422</v>
      </c>
      <c r="G106">
        <v>17.2</v>
      </c>
      <c r="H106">
        <v>995843</v>
      </c>
      <c r="I106">
        <v>102</v>
      </c>
      <c r="J106">
        <v>97</v>
      </c>
      <c r="K106" t="s">
        <v>23</v>
      </c>
      <c r="L106" t="s">
        <v>37</v>
      </c>
    </row>
    <row r="107" spans="1:12" x14ac:dyDescent="0.25">
      <c r="A107" t="s">
        <v>25</v>
      </c>
      <c r="B107" t="s">
        <v>38</v>
      </c>
      <c r="C107">
        <v>2022</v>
      </c>
      <c r="D107" t="s">
        <v>18</v>
      </c>
      <c r="E107">
        <v>642</v>
      </c>
      <c r="F107">
        <v>103</v>
      </c>
      <c r="G107">
        <v>9.1</v>
      </c>
      <c r="H107">
        <v>521631</v>
      </c>
      <c r="I107">
        <v>112</v>
      </c>
      <c r="J107">
        <v>98</v>
      </c>
      <c r="K107" t="s">
        <v>27</v>
      </c>
      <c r="L107" t="s">
        <v>24</v>
      </c>
    </row>
    <row r="108" spans="1:12" x14ac:dyDescent="0.25">
      <c r="A108" t="s">
        <v>12</v>
      </c>
      <c r="B108" t="s">
        <v>36</v>
      </c>
      <c r="C108">
        <v>2022</v>
      </c>
      <c r="D108" t="s">
        <v>29</v>
      </c>
      <c r="E108">
        <v>385</v>
      </c>
      <c r="F108">
        <v>348</v>
      </c>
      <c r="G108">
        <v>19.8</v>
      </c>
      <c r="H108">
        <v>1712575</v>
      </c>
      <c r="I108">
        <v>111</v>
      </c>
      <c r="J108">
        <v>89</v>
      </c>
      <c r="K108" t="s">
        <v>23</v>
      </c>
      <c r="L108" t="s">
        <v>20</v>
      </c>
    </row>
    <row r="109" spans="1:12" x14ac:dyDescent="0.25">
      <c r="A109" t="s">
        <v>25</v>
      </c>
      <c r="B109" t="s">
        <v>36</v>
      </c>
      <c r="C109">
        <v>2020</v>
      </c>
      <c r="D109" t="s">
        <v>22</v>
      </c>
      <c r="E109">
        <v>162</v>
      </c>
      <c r="F109">
        <v>85</v>
      </c>
      <c r="G109">
        <v>10.6</v>
      </c>
      <c r="H109">
        <v>727020</v>
      </c>
      <c r="I109">
        <v>121</v>
      </c>
      <c r="J109">
        <v>92</v>
      </c>
      <c r="K109" t="s">
        <v>15</v>
      </c>
      <c r="L109" t="s">
        <v>16</v>
      </c>
    </row>
    <row r="110" spans="1:12" x14ac:dyDescent="0.25">
      <c r="A110" t="s">
        <v>12</v>
      </c>
      <c r="B110" t="s">
        <v>31</v>
      </c>
      <c r="C110">
        <v>2024</v>
      </c>
      <c r="D110" t="s">
        <v>12</v>
      </c>
      <c r="E110">
        <v>946</v>
      </c>
      <c r="F110">
        <v>104</v>
      </c>
      <c r="G110">
        <v>18.2</v>
      </c>
      <c r="H110">
        <v>2287216</v>
      </c>
      <c r="I110">
        <v>99</v>
      </c>
      <c r="J110">
        <v>61</v>
      </c>
      <c r="K110" t="s">
        <v>23</v>
      </c>
      <c r="L110" t="s">
        <v>30</v>
      </c>
    </row>
    <row r="111" spans="1:12" x14ac:dyDescent="0.25">
      <c r="A111" t="s">
        <v>12</v>
      </c>
      <c r="B111" t="s">
        <v>33</v>
      </c>
      <c r="C111">
        <v>2021</v>
      </c>
      <c r="D111" t="s">
        <v>12</v>
      </c>
      <c r="E111">
        <v>825</v>
      </c>
      <c r="F111">
        <v>597</v>
      </c>
      <c r="G111">
        <v>10.7</v>
      </c>
      <c r="H111">
        <v>617319</v>
      </c>
      <c r="I111">
        <v>185</v>
      </c>
      <c r="J111">
        <v>78</v>
      </c>
      <c r="K111" t="s">
        <v>15</v>
      </c>
      <c r="L111" t="s">
        <v>30</v>
      </c>
    </row>
    <row r="112" spans="1:12" x14ac:dyDescent="0.25">
      <c r="A112" t="s">
        <v>25</v>
      </c>
      <c r="B112" t="s">
        <v>21</v>
      </c>
      <c r="C112">
        <v>2021</v>
      </c>
      <c r="D112" t="s">
        <v>14</v>
      </c>
      <c r="E112">
        <v>966</v>
      </c>
      <c r="F112">
        <v>856</v>
      </c>
      <c r="G112">
        <v>15.3</v>
      </c>
      <c r="H112">
        <v>769162</v>
      </c>
      <c r="I112">
        <v>39</v>
      </c>
      <c r="J112">
        <v>82</v>
      </c>
      <c r="K112" t="s">
        <v>23</v>
      </c>
      <c r="L112" t="s">
        <v>30</v>
      </c>
    </row>
    <row r="113" spans="1:12" x14ac:dyDescent="0.25">
      <c r="A113" t="s">
        <v>12</v>
      </c>
      <c r="B113" t="s">
        <v>38</v>
      </c>
      <c r="C113">
        <v>2022</v>
      </c>
      <c r="D113" t="s">
        <v>29</v>
      </c>
      <c r="E113">
        <v>365</v>
      </c>
      <c r="F113">
        <v>365</v>
      </c>
      <c r="G113">
        <v>18.600000000000001</v>
      </c>
      <c r="H113">
        <v>760860</v>
      </c>
      <c r="I113">
        <v>128</v>
      </c>
      <c r="J113">
        <v>72</v>
      </c>
      <c r="K113" t="s">
        <v>23</v>
      </c>
      <c r="L113" t="s">
        <v>20</v>
      </c>
    </row>
    <row r="114" spans="1:12" x14ac:dyDescent="0.25">
      <c r="A114" t="s">
        <v>25</v>
      </c>
      <c r="B114" t="s">
        <v>13</v>
      </c>
      <c r="C114">
        <v>2023</v>
      </c>
      <c r="D114" t="s">
        <v>29</v>
      </c>
      <c r="E114">
        <v>187</v>
      </c>
      <c r="F114">
        <v>187</v>
      </c>
      <c r="G114">
        <v>3.3</v>
      </c>
      <c r="H114">
        <v>1601663</v>
      </c>
      <c r="I114">
        <v>74</v>
      </c>
      <c r="J114">
        <v>79</v>
      </c>
      <c r="K114" t="s">
        <v>19</v>
      </c>
      <c r="L114" t="s">
        <v>16</v>
      </c>
    </row>
    <row r="115" spans="1:12" x14ac:dyDescent="0.25">
      <c r="A115" t="s">
        <v>12</v>
      </c>
      <c r="B115" t="s">
        <v>31</v>
      </c>
      <c r="C115">
        <v>2022</v>
      </c>
      <c r="D115" t="s">
        <v>34</v>
      </c>
      <c r="E115">
        <v>571</v>
      </c>
      <c r="F115">
        <v>516</v>
      </c>
      <c r="G115">
        <v>11.4</v>
      </c>
      <c r="H115">
        <v>1213092</v>
      </c>
      <c r="I115">
        <v>82</v>
      </c>
      <c r="J115">
        <v>90</v>
      </c>
      <c r="K115" t="s">
        <v>15</v>
      </c>
      <c r="L115" t="s">
        <v>37</v>
      </c>
    </row>
    <row r="116" spans="1:12" x14ac:dyDescent="0.25">
      <c r="A116" t="s">
        <v>12</v>
      </c>
      <c r="B116" t="s">
        <v>36</v>
      </c>
      <c r="C116">
        <v>2021</v>
      </c>
      <c r="D116" t="s">
        <v>12</v>
      </c>
      <c r="E116">
        <v>907</v>
      </c>
      <c r="F116">
        <v>575</v>
      </c>
      <c r="G116">
        <v>16.600000000000001</v>
      </c>
      <c r="H116">
        <v>1374498</v>
      </c>
      <c r="I116">
        <v>161</v>
      </c>
      <c r="J116">
        <v>68</v>
      </c>
      <c r="K116" t="s">
        <v>23</v>
      </c>
      <c r="L116" t="s">
        <v>30</v>
      </c>
    </row>
    <row r="117" spans="1:12" x14ac:dyDescent="0.25">
      <c r="A117" t="s">
        <v>12</v>
      </c>
      <c r="B117" t="s">
        <v>39</v>
      </c>
      <c r="C117">
        <v>2020</v>
      </c>
      <c r="D117" t="s">
        <v>29</v>
      </c>
      <c r="E117">
        <v>912</v>
      </c>
      <c r="F117">
        <v>692</v>
      </c>
      <c r="G117">
        <v>16.899999999999999</v>
      </c>
      <c r="H117">
        <v>974017</v>
      </c>
      <c r="I117">
        <v>197</v>
      </c>
      <c r="J117">
        <v>62</v>
      </c>
      <c r="K117" t="s">
        <v>23</v>
      </c>
      <c r="L117" t="s">
        <v>30</v>
      </c>
    </row>
    <row r="118" spans="1:12" x14ac:dyDescent="0.25">
      <c r="A118" t="s">
        <v>12</v>
      </c>
      <c r="B118" t="s">
        <v>13</v>
      </c>
      <c r="C118">
        <v>2020</v>
      </c>
      <c r="D118" t="s">
        <v>32</v>
      </c>
      <c r="E118">
        <v>910</v>
      </c>
      <c r="F118">
        <v>443</v>
      </c>
      <c r="G118">
        <v>19.600000000000001</v>
      </c>
      <c r="H118">
        <v>1283053</v>
      </c>
      <c r="I118">
        <v>103</v>
      </c>
      <c r="J118">
        <v>78</v>
      </c>
      <c r="K118" t="s">
        <v>23</v>
      </c>
      <c r="L118" t="s">
        <v>30</v>
      </c>
    </row>
    <row r="119" spans="1:12" x14ac:dyDescent="0.25">
      <c r="A119" t="s">
        <v>12</v>
      </c>
      <c r="B119" t="s">
        <v>28</v>
      </c>
      <c r="C119">
        <v>2024</v>
      </c>
      <c r="D119" t="s">
        <v>14</v>
      </c>
      <c r="E119">
        <v>815</v>
      </c>
      <c r="F119">
        <v>815</v>
      </c>
      <c r="G119">
        <v>9.9</v>
      </c>
      <c r="H119">
        <v>2273813</v>
      </c>
      <c r="I119">
        <v>94</v>
      </c>
      <c r="J119">
        <v>86</v>
      </c>
      <c r="K119" t="s">
        <v>27</v>
      </c>
      <c r="L119" t="s">
        <v>30</v>
      </c>
    </row>
    <row r="120" spans="1:12" x14ac:dyDescent="0.25">
      <c r="A120" t="s">
        <v>12</v>
      </c>
      <c r="B120" t="s">
        <v>35</v>
      </c>
      <c r="C120">
        <v>2024</v>
      </c>
      <c r="D120" t="s">
        <v>18</v>
      </c>
      <c r="E120">
        <v>475</v>
      </c>
      <c r="F120">
        <v>57</v>
      </c>
      <c r="G120">
        <v>12.2</v>
      </c>
      <c r="H120">
        <v>1433798</v>
      </c>
      <c r="I120">
        <v>83</v>
      </c>
      <c r="J120">
        <v>95</v>
      </c>
      <c r="K120" t="s">
        <v>15</v>
      </c>
      <c r="L120" t="s">
        <v>37</v>
      </c>
    </row>
    <row r="121" spans="1:12" x14ac:dyDescent="0.25">
      <c r="A121" t="s">
        <v>12</v>
      </c>
      <c r="B121" t="s">
        <v>38</v>
      </c>
      <c r="C121">
        <v>2019</v>
      </c>
      <c r="D121" t="s">
        <v>22</v>
      </c>
      <c r="E121">
        <v>832</v>
      </c>
      <c r="F121">
        <v>87</v>
      </c>
      <c r="G121">
        <v>5.5</v>
      </c>
      <c r="H121">
        <v>2483796</v>
      </c>
      <c r="I121">
        <v>194</v>
      </c>
      <c r="J121">
        <v>80</v>
      </c>
      <c r="K121" t="s">
        <v>27</v>
      </c>
      <c r="L121" t="s">
        <v>30</v>
      </c>
    </row>
    <row r="122" spans="1:12" x14ac:dyDescent="0.25">
      <c r="A122" t="s">
        <v>12</v>
      </c>
      <c r="B122" t="s">
        <v>39</v>
      </c>
      <c r="C122">
        <v>2020</v>
      </c>
      <c r="D122" t="s">
        <v>34</v>
      </c>
      <c r="E122">
        <v>610</v>
      </c>
      <c r="F122">
        <v>170</v>
      </c>
      <c r="G122">
        <v>12.4</v>
      </c>
      <c r="H122">
        <v>1131552</v>
      </c>
      <c r="I122">
        <v>185</v>
      </c>
      <c r="J122">
        <v>89</v>
      </c>
      <c r="K122" t="s">
        <v>15</v>
      </c>
      <c r="L122" t="s">
        <v>24</v>
      </c>
    </row>
    <row r="123" spans="1:12" x14ac:dyDescent="0.25">
      <c r="A123" t="s">
        <v>12</v>
      </c>
      <c r="B123" t="s">
        <v>38</v>
      </c>
      <c r="C123">
        <v>2020</v>
      </c>
      <c r="D123" t="s">
        <v>29</v>
      </c>
      <c r="E123">
        <v>287</v>
      </c>
      <c r="F123">
        <v>287</v>
      </c>
      <c r="G123">
        <v>16.8</v>
      </c>
      <c r="H123">
        <v>615003</v>
      </c>
      <c r="I123">
        <v>81</v>
      </c>
      <c r="J123">
        <v>81</v>
      </c>
      <c r="K123" t="s">
        <v>23</v>
      </c>
      <c r="L123" t="s">
        <v>20</v>
      </c>
    </row>
    <row r="124" spans="1:12" x14ac:dyDescent="0.25">
      <c r="A124" t="s">
        <v>12</v>
      </c>
      <c r="B124" t="s">
        <v>38</v>
      </c>
      <c r="C124">
        <v>2022</v>
      </c>
      <c r="D124" t="s">
        <v>22</v>
      </c>
      <c r="E124">
        <v>823</v>
      </c>
      <c r="F124">
        <v>281</v>
      </c>
      <c r="G124">
        <v>13</v>
      </c>
      <c r="H124">
        <v>1358069</v>
      </c>
      <c r="I124">
        <v>152</v>
      </c>
      <c r="J124">
        <v>71</v>
      </c>
      <c r="K124" t="s">
        <v>15</v>
      </c>
      <c r="L124" t="s">
        <v>30</v>
      </c>
    </row>
    <row r="125" spans="1:12" x14ac:dyDescent="0.25">
      <c r="A125" t="s">
        <v>12</v>
      </c>
      <c r="B125" t="s">
        <v>26</v>
      </c>
      <c r="C125">
        <v>2024</v>
      </c>
      <c r="D125" t="s">
        <v>22</v>
      </c>
      <c r="E125">
        <v>549</v>
      </c>
      <c r="F125">
        <v>549</v>
      </c>
      <c r="G125">
        <v>8.6999999999999993</v>
      </c>
      <c r="H125">
        <v>998360</v>
      </c>
      <c r="I125">
        <v>154</v>
      </c>
      <c r="J125">
        <v>87</v>
      </c>
      <c r="K125" t="s">
        <v>27</v>
      </c>
      <c r="L125" t="s">
        <v>37</v>
      </c>
    </row>
    <row r="126" spans="1:12" x14ac:dyDescent="0.25">
      <c r="A126" t="s">
        <v>12</v>
      </c>
      <c r="B126" t="s">
        <v>17</v>
      </c>
      <c r="C126">
        <v>2023</v>
      </c>
      <c r="D126" t="s">
        <v>14</v>
      </c>
      <c r="E126">
        <v>858</v>
      </c>
      <c r="F126">
        <v>505</v>
      </c>
      <c r="G126">
        <v>5.0999999999999996</v>
      </c>
      <c r="H126">
        <v>1031610</v>
      </c>
      <c r="I126">
        <v>81</v>
      </c>
      <c r="J126">
        <v>86</v>
      </c>
      <c r="K126" t="s">
        <v>27</v>
      </c>
      <c r="L126" t="s">
        <v>30</v>
      </c>
    </row>
    <row r="127" spans="1:12" x14ac:dyDescent="0.25">
      <c r="A127" t="s">
        <v>12</v>
      </c>
      <c r="B127" t="s">
        <v>13</v>
      </c>
      <c r="C127">
        <v>2021</v>
      </c>
      <c r="D127" t="s">
        <v>14</v>
      </c>
      <c r="E127">
        <v>316</v>
      </c>
      <c r="F127">
        <v>250</v>
      </c>
      <c r="G127">
        <v>7.6</v>
      </c>
      <c r="H127">
        <v>1142272</v>
      </c>
      <c r="I127">
        <v>163</v>
      </c>
      <c r="J127">
        <v>88</v>
      </c>
      <c r="K127" t="s">
        <v>27</v>
      </c>
      <c r="L127" t="s">
        <v>20</v>
      </c>
    </row>
    <row r="128" spans="1:12" x14ac:dyDescent="0.25">
      <c r="A128" t="s">
        <v>25</v>
      </c>
      <c r="B128" t="s">
        <v>21</v>
      </c>
      <c r="C128">
        <v>2022</v>
      </c>
      <c r="D128" t="s">
        <v>34</v>
      </c>
      <c r="E128">
        <v>326</v>
      </c>
      <c r="F128">
        <v>326</v>
      </c>
      <c r="G128">
        <v>4.7</v>
      </c>
      <c r="H128">
        <v>1583423</v>
      </c>
      <c r="I128">
        <v>59</v>
      </c>
      <c r="J128">
        <v>94</v>
      </c>
      <c r="K128" t="s">
        <v>19</v>
      </c>
      <c r="L128" t="s">
        <v>20</v>
      </c>
    </row>
    <row r="129" spans="1:12" x14ac:dyDescent="0.25">
      <c r="A129" t="s">
        <v>25</v>
      </c>
      <c r="B129" t="s">
        <v>35</v>
      </c>
      <c r="C129">
        <v>2018</v>
      </c>
      <c r="D129" t="s">
        <v>29</v>
      </c>
      <c r="E129">
        <v>696</v>
      </c>
      <c r="F129">
        <v>673</v>
      </c>
      <c r="G129">
        <v>8.1999999999999993</v>
      </c>
      <c r="H129">
        <v>1199659</v>
      </c>
      <c r="I129">
        <v>151</v>
      </c>
      <c r="J129">
        <v>97</v>
      </c>
      <c r="K129" t="s">
        <v>27</v>
      </c>
      <c r="L129" t="s">
        <v>24</v>
      </c>
    </row>
    <row r="130" spans="1:12" x14ac:dyDescent="0.25">
      <c r="A130" t="s">
        <v>12</v>
      </c>
      <c r="B130" t="s">
        <v>17</v>
      </c>
      <c r="C130">
        <v>2024</v>
      </c>
      <c r="D130" t="s">
        <v>14</v>
      </c>
      <c r="E130">
        <v>387</v>
      </c>
      <c r="F130">
        <v>282</v>
      </c>
      <c r="G130">
        <v>7.2</v>
      </c>
      <c r="H130">
        <v>528793</v>
      </c>
      <c r="I130">
        <v>158</v>
      </c>
      <c r="J130">
        <v>78</v>
      </c>
      <c r="K130" t="s">
        <v>27</v>
      </c>
      <c r="L130" t="s">
        <v>20</v>
      </c>
    </row>
    <row r="131" spans="1:12" x14ac:dyDescent="0.25">
      <c r="A131" t="s">
        <v>12</v>
      </c>
      <c r="B131" t="s">
        <v>38</v>
      </c>
      <c r="C131">
        <v>2020</v>
      </c>
      <c r="D131" t="s">
        <v>32</v>
      </c>
      <c r="E131">
        <v>191</v>
      </c>
      <c r="F131">
        <v>191</v>
      </c>
      <c r="G131">
        <v>3</v>
      </c>
      <c r="H131">
        <v>1377250</v>
      </c>
      <c r="I131">
        <v>161</v>
      </c>
      <c r="J131">
        <v>64</v>
      </c>
      <c r="K131" t="s">
        <v>19</v>
      </c>
      <c r="L131" t="s">
        <v>16</v>
      </c>
    </row>
    <row r="132" spans="1:12" x14ac:dyDescent="0.25">
      <c r="A132" t="s">
        <v>25</v>
      </c>
      <c r="B132" t="s">
        <v>38</v>
      </c>
      <c r="C132">
        <v>2023</v>
      </c>
      <c r="D132" t="s">
        <v>34</v>
      </c>
      <c r="E132">
        <v>903</v>
      </c>
      <c r="F132">
        <v>579</v>
      </c>
      <c r="G132">
        <v>18.5</v>
      </c>
      <c r="H132">
        <v>1153765</v>
      </c>
      <c r="I132">
        <v>189</v>
      </c>
      <c r="J132">
        <v>65</v>
      </c>
      <c r="K132" t="s">
        <v>23</v>
      </c>
      <c r="L132" t="s">
        <v>30</v>
      </c>
    </row>
    <row r="133" spans="1:12" x14ac:dyDescent="0.25">
      <c r="A133" t="s">
        <v>12</v>
      </c>
      <c r="B133" t="s">
        <v>21</v>
      </c>
      <c r="C133">
        <v>2023</v>
      </c>
      <c r="D133" t="s">
        <v>14</v>
      </c>
      <c r="E133">
        <v>209</v>
      </c>
      <c r="F133">
        <v>209</v>
      </c>
      <c r="G133">
        <v>6.3</v>
      </c>
      <c r="H133">
        <v>1600559</v>
      </c>
      <c r="I133">
        <v>189</v>
      </c>
      <c r="J133">
        <v>76</v>
      </c>
      <c r="K133" t="s">
        <v>27</v>
      </c>
      <c r="L133" t="s">
        <v>20</v>
      </c>
    </row>
    <row r="134" spans="1:12" x14ac:dyDescent="0.25">
      <c r="A134" t="s">
        <v>12</v>
      </c>
      <c r="B134" t="s">
        <v>38</v>
      </c>
      <c r="C134">
        <v>2021</v>
      </c>
      <c r="D134" t="s">
        <v>12</v>
      </c>
      <c r="E134">
        <v>810</v>
      </c>
      <c r="F134">
        <v>399</v>
      </c>
      <c r="G134">
        <v>16.899999999999999</v>
      </c>
      <c r="H134">
        <v>649358</v>
      </c>
      <c r="I134">
        <v>79</v>
      </c>
      <c r="J134">
        <v>68</v>
      </c>
      <c r="K134" t="s">
        <v>23</v>
      </c>
      <c r="L134" t="s">
        <v>30</v>
      </c>
    </row>
    <row r="135" spans="1:12" x14ac:dyDescent="0.25">
      <c r="A135" t="s">
        <v>25</v>
      </c>
      <c r="B135" t="s">
        <v>21</v>
      </c>
      <c r="C135">
        <v>2019</v>
      </c>
      <c r="D135" t="s">
        <v>14</v>
      </c>
      <c r="E135">
        <v>171</v>
      </c>
      <c r="F135">
        <v>171</v>
      </c>
      <c r="G135">
        <v>4.2</v>
      </c>
      <c r="H135">
        <v>2458521</v>
      </c>
      <c r="I135">
        <v>196</v>
      </c>
      <c r="J135">
        <v>74</v>
      </c>
      <c r="K135" t="s">
        <v>19</v>
      </c>
      <c r="L135" t="s">
        <v>16</v>
      </c>
    </row>
    <row r="136" spans="1:12" x14ac:dyDescent="0.25">
      <c r="A136" t="s">
        <v>12</v>
      </c>
      <c r="B136" t="s">
        <v>26</v>
      </c>
      <c r="C136">
        <v>2024</v>
      </c>
      <c r="D136" t="s">
        <v>22</v>
      </c>
      <c r="E136">
        <v>882</v>
      </c>
      <c r="F136">
        <v>754</v>
      </c>
      <c r="G136">
        <v>18.3</v>
      </c>
      <c r="H136">
        <v>1832145</v>
      </c>
      <c r="I136">
        <v>146</v>
      </c>
      <c r="J136">
        <v>98</v>
      </c>
      <c r="K136" t="s">
        <v>23</v>
      </c>
      <c r="L136" t="s">
        <v>30</v>
      </c>
    </row>
    <row r="137" spans="1:12" x14ac:dyDescent="0.25">
      <c r="A137" t="s">
        <v>12</v>
      </c>
      <c r="B137" t="s">
        <v>17</v>
      </c>
      <c r="C137">
        <v>2018</v>
      </c>
      <c r="D137" t="s">
        <v>32</v>
      </c>
      <c r="E137">
        <v>554</v>
      </c>
      <c r="F137">
        <v>502</v>
      </c>
      <c r="G137">
        <v>19.8</v>
      </c>
      <c r="H137">
        <v>1825420</v>
      </c>
      <c r="I137">
        <v>161</v>
      </c>
      <c r="J137">
        <v>70</v>
      </c>
      <c r="K137" t="s">
        <v>23</v>
      </c>
      <c r="L137" t="s">
        <v>37</v>
      </c>
    </row>
    <row r="138" spans="1:12" x14ac:dyDescent="0.25">
      <c r="A138" t="s">
        <v>12</v>
      </c>
      <c r="B138" t="s">
        <v>13</v>
      </c>
      <c r="C138">
        <v>2022</v>
      </c>
      <c r="D138" t="s">
        <v>22</v>
      </c>
      <c r="E138">
        <v>131</v>
      </c>
      <c r="F138">
        <v>131</v>
      </c>
      <c r="G138">
        <v>13.6</v>
      </c>
      <c r="H138">
        <v>530476</v>
      </c>
      <c r="I138">
        <v>133</v>
      </c>
      <c r="J138">
        <v>68</v>
      </c>
      <c r="K138" t="s">
        <v>15</v>
      </c>
      <c r="L138" t="s">
        <v>16</v>
      </c>
    </row>
    <row r="139" spans="1:12" x14ac:dyDescent="0.25">
      <c r="A139" t="s">
        <v>25</v>
      </c>
      <c r="B139" t="s">
        <v>28</v>
      </c>
      <c r="C139">
        <v>2019</v>
      </c>
      <c r="D139" t="s">
        <v>14</v>
      </c>
      <c r="E139">
        <v>460</v>
      </c>
      <c r="F139">
        <v>460</v>
      </c>
      <c r="G139">
        <v>7.5</v>
      </c>
      <c r="H139">
        <v>2180110</v>
      </c>
      <c r="I139">
        <v>69</v>
      </c>
      <c r="J139">
        <v>79</v>
      </c>
      <c r="K139" t="s">
        <v>27</v>
      </c>
      <c r="L139" t="s">
        <v>37</v>
      </c>
    </row>
    <row r="140" spans="1:12" x14ac:dyDescent="0.25">
      <c r="A140" t="s">
        <v>12</v>
      </c>
      <c r="B140" t="s">
        <v>17</v>
      </c>
      <c r="C140">
        <v>2021</v>
      </c>
      <c r="D140" t="s">
        <v>32</v>
      </c>
      <c r="E140">
        <v>806</v>
      </c>
      <c r="F140">
        <v>700</v>
      </c>
      <c r="G140">
        <v>7.3</v>
      </c>
      <c r="H140">
        <v>1104173</v>
      </c>
      <c r="I140">
        <v>86</v>
      </c>
      <c r="J140">
        <v>70</v>
      </c>
      <c r="K140" t="s">
        <v>27</v>
      </c>
      <c r="L140" t="s">
        <v>30</v>
      </c>
    </row>
    <row r="141" spans="1:12" x14ac:dyDescent="0.25">
      <c r="A141" t="s">
        <v>12</v>
      </c>
      <c r="B141" t="s">
        <v>17</v>
      </c>
      <c r="C141">
        <v>2023</v>
      </c>
      <c r="D141" t="s">
        <v>12</v>
      </c>
      <c r="E141">
        <v>986</v>
      </c>
      <c r="F141">
        <v>319</v>
      </c>
      <c r="G141">
        <v>14.2</v>
      </c>
      <c r="H141">
        <v>1335341</v>
      </c>
      <c r="I141">
        <v>108</v>
      </c>
      <c r="J141">
        <v>92</v>
      </c>
      <c r="K141" t="s">
        <v>15</v>
      </c>
      <c r="L141" t="s">
        <v>30</v>
      </c>
    </row>
    <row r="142" spans="1:12" x14ac:dyDescent="0.25">
      <c r="A142" t="s">
        <v>12</v>
      </c>
      <c r="B142" t="s">
        <v>26</v>
      </c>
      <c r="C142">
        <v>2021</v>
      </c>
      <c r="D142" t="s">
        <v>22</v>
      </c>
      <c r="E142">
        <v>869</v>
      </c>
      <c r="F142">
        <v>845</v>
      </c>
      <c r="G142">
        <v>5.2</v>
      </c>
      <c r="H142">
        <v>723052</v>
      </c>
      <c r="I142">
        <v>92</v>
      </c>
      <c r="J142">
        <v>75</v>
      </c>
      <c r="K142" t="s">
        <v>27</v>
      </c>
      <c r="L142" t="s">
        <v>30</v>
      </c>
    </row>
    <row r="143" spans="1:12" x14ac:dyDescent="0.25">
      <c r="A143" t="s">
        <v>12</v>
      </c>
      <c r="B143" t="s">
        <v>33</v>
      </c>
      <c r="C143">
        <v>2020</v>
      </c>
      <c r="D143" t="s">
        <v>32</v>
      </c>
      <c r="E143">
        <v>802</v>
      </c>
      <c r="F143">
        <v>634</v>
      </c>
      <c r="G143">
        <v>9.6999999999999993</v>
      </c>
      <c r="H143">
        <v>2278111</v>
      </c>
      <c r="I143">
        <v>149</v>
      </c>
      <c r="J143">
        <v>93</v>
      </c>
      <c r="K143" t="s">
        <v>27</v>
      </c>
      <c r="L143" t="s">
        <v>30</v>
      </c>
    </row>
    <row r="144" spans="1:12" x14ac:dyDescent="0.25">
      <c r="A144" t="s">
        <v>25</v>
      </c>
      <c r="B144" t="s">
        <v>40</v>
      </c>
      <c r="C144">
        <v>2021</v>
      </c>
      <c r="D144" t="s">
        <v>14</v>
      </c>
      <c r="E144">
        <v>426</v>
      </c>
      <c r="F144">
        <v>158</v>
      </c>
      <c r="G144">
        <v>17.600000000000001</v>
      </c>
      <c r="H144">
        <v>1235304</v>
      </c>
      <c r="I144">
        <v>71</v>
      </c>
      <c r="J144">
        <v>88</v>
      </c>
      <c r="K144" t="s">
        <v>23</v>
      </c>
      <c r="L144" t="s">
        <v>37</v>
      </c>
    </row>
    <row r="145" spans="1:12" x14ac:dyDescent="0.25">
      <c r="A145" t="s">
        <v>25</v>
      </c>
      <c r="B145" t="s">
        <v>31</v>
      </c>
      <c r="C145">
        <v>2023</v>
      </c>
      <c r="D145" t="s">
        <v>18</v>
      </c>
      <c r="E145">
        <v>511</v>
      </c>
      <c r="F145">
        <v>484</v>
      </c>
      <c r="G145">
        <v>5.9</v>
      </c>
      <c r="H145">
        <v>1172712</v>
      </c>
      <c r="I145">
        <v>88</v>
      </c>
      <c r="J145">
        <v>70</v>
      </c>
      <c r="K145" t="s">
        <v>27</v>
      </c>
      <c r="L145" t="s">
        <v>37</v>
      </c>
    </row>
    <row r="146" spans="1:12" x14ac:dyDescent="0.25">
      <c r="A146" t="s">
        <v>12</v>
      </c>
      <c r="B146" t="s">
        <v>40</v>
      </c>
      <c r="C146">
        <v>2023</v>
      </c>
      <c r="D146" t="s">
        <v>12</v>
      </c>
      <c r="E146">
        <v>872</v>
      </c>
      <c r="F146">
        <v>198</v>
      </c>
      <c r="G146">
        <v>13.2</v>
      </c>
      <c r="H146">
        <v>621867</v>
      </c>
      <c r="I146">
        <v>173</v>
      </c>
      <c r="J146">
        <v>66</v>
      </c>
      <c r="K146" t="s">
        <v>15</v>
      </c>
      <c r="L146" t="s">
        <v>30</v>
      </c>
    </row>
    <row r="147" spans="1:12" x14ac:dyDescent="0.25">
      <c r="A147" t="s">
        <v>25</v>
      </c>
      <c r="B147" t="s">
        <v>33</v>
      </c>
      <c r="C147">
        <v>2018</v>
      </c>
      <c r="D147" t="s">
        <v>34</v>
      </c>
      <c r="E147">
        <v>366</v>
      </c>
      <c r="F147">
        <v>207</v>
      </c>
      <c r="G147">
        <v>13.7</v>
      </c>
      <c r="H147">
        <v>1566073</v>
      </c>
      <c r="I147">
        <v>94</v>
      </c>
      <c r="J147">
        <v>99</v>
      </c>
      <c r="K147" t="s">
        <v>15</v>
      </c>
      <c r="L147" t="s">
        <v>20</v>
      </c>
    </row>
    <row r="148" spans="1:12" x14ac:dyDescent="0.25">
      <c r="A148" t="s">
        <v>25</v>
      </c>
      <c r="B148" t="s">
        <v>26</v>
      </c>
      <c r="C148">
        <v>2024</v>
      </c>
      <c r="D148" t="s">
        <v>34</v>
      </c>
      <c r="E148">
        <v>422</v>
      </c>
      <c r="F148">
        <v>422</v>
      </c>
      <c r="G148">
        <v>4.8</v>
      </c>
      <c r="H148">
        <v>1559539</v>
      </c>
      <c r="I148">
        <v>170</v>
      </c>
      <c r="J148">
        <v>82</v>
      </c>
      <c r="K148" t="s">
        <v>19</v>
      </c>
      <c r="L148" t="s">
        <v>37</v>
      </c>
    </row>
    <row r="149" spans="1:12" x14ac:dyDescent="0.25">
      <c r="A149" t="s">
        <v>12</v>
      </c>
      <c r="B149" t="s">
        <v>40</v>
      </c>
      <c r="C149">
        <v>2023</v>
      </c>
      <c r="D149" t="s">
        <v>32</v>
      </c>
      <c r="E149">
        <v>375</v>
      </c>
      <c r="F149">
        <v>52</v>
      </c>
      <c r="G149">
        <v>8.5</v>
      </c>
      <c r="H149">
        <v>663310</v>
      </c>
      <c r="I149">
        <v>63</v>
      </c>
      <c r="J149">
        <v>62</v>
      </c>
      <c r="K149" t="s">
        <v>27</v>
      </c>
      <c r="L149" t="s">
        <v>20</v>
      </c>
    </row>
    <row r="150" spans="1:12" x14ac:dyDescent="0.25">
      <c r="A150" t="s">
        <v>12</v>
      </c>
      <c r="B150" t="s">
        <v>26</v>
      </c>
      <c r="C150">
        <v>2020</v>
      </c>
      <c r="D150" t="s">
        <v>29</v>
      </c>
      <c r="E150">
        <v>406</v>
      </c>
      <c r="F150">
        <v>406</v>
      </c>
      <c r="G150">
        <v>7.6</v>
      </c>
      <c r="H150">
        <v>590687</v>
      </c>
      <c r="I150">
        <v>121</v>
      </c>
      <c r="J150">
        <v>84</v>
      </c>
      <c r="K150" t="s">
        <v>27</v>
      </c>
      <c r="L150" t="s">
        <v>37</v>
      </c>
    </row>
    <row r="151" spans="1:12" x14ac:dyDescent="0.25">
      <c r="A151" t="s">
        <v>25</v>
      </c>
      <c r="B151" t="s">
        <v>26</v>
      </c>
      <c r="C151">
        <v>2018</v>
      </c>
      <c r="D151" t="s">
        <v>22</v>
      </c>
      <c r="E151">
        <v>826</v>
      </c>
      <c r="F151">
        <v>636</v>
      </c>
      <c r="G151">
        <v>3.2</v>
      </c>
      <c r="H151">
        <v>2341623</v>
      </c>
      <c r="I151">
        <v>123</v>
      </c>
      <c r="J151">
        <v>76</v>
      </c>
      <c r="K151" t="s">
        <v>19</v>
      </c>
      <c r="L151" t="s">
        <v>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51"/>
  <sheetViews>
    <sheetView tabSelected="1" topLeftCell="C1" workbookViewId="0">
      <selection activeCell="X30" sqref="X30"/>
    </sheetView>
  </sheetViews>
  <sheetFormatPr defaultRowHeight="15" x14ac:dyDescent="0.25"/>
  <cols>
    <col min="1" max="1" width="11.7109375" bestFit="1" customWidth="1"/>
    <col min="2" max="2" width="24.42578125" bestFit="1" customWidth="1"/>
    <col min="3" max="3" width="5.140625" bestFit="1" customWidth="1"/>
    <col min="4" max="4" width="14.5703125" bestFit="1" customWidth="1"/>
    <col min="5" max="5" width="14.85546875" bestFit="1" customWidth="1"/>
    <col min="6" max="6" width="14.7109375" bestFit="1" customWidth="1"/>
    <col min="7" max="7" width="14.7109375" customWidth="1"/>
    <col min="8" max="8" width="28" bestFit="1" customWidth="1"/>
    <col min="9" max="9" width="10.140625" bestFit="1" customWidth="1"/>
    <col min="10" max="10" width="10.85546875" bestFit="1" customWidth="1"/>
    <col min="11" max="11" width="20.85546875" bestFit="1" customWidth="1"/>
    <col min="12" max="12" width="20.7109375" bestFit="1" customWidth="1"/>
    <col min="13" max="13" width="15.140625" bestFit="1" customWidth="1"/>
    <col min="15" max="15" width="38.42578125" bestFit="1" customWidth="1"/>
    <col min="16" max="16" width="16.28515625" bestFit="1" customWidth="1"/>
    <col min="17" max="17" width="6.42578125" bestFit="1" customWidth="1"/>
    <col min="18" max="18" width="11.28515625" bestFit="1" customWidth="1"/>
    <col min="19" max="19" width="5.42578125" customWidth="1"/>
    <col min="20" max="20" width="24.42578125" bestFit="1" customWidth="1"/>
    <col min="21" max="21" width="16.28515625" bestFit="1" customWidth="1"/>
    <col min="22" max="22" width="9" customWidth="1"/>
    <col min="23" max="23" width="12.5703125" bestFit="1" customWidth="1"/>
    <col min="24" max="24" width="28.28515625" bestFit="1" customWidth="1"/>
    <col min="25" max="25" width="31.28515625" bestFit="1" customWidth="1"/>
    <col min="26" max="26" width="16.28515625" bestFit="1" customWidth="1"/>
    <col min="27" max="27" width="6.42578125" bestFit="1" customWidth="1"/>
    <col min="28" max="28" width="11.28515625" bestFit="1" customWidth="1"/>
    <col min="29" max="29" width="13.140625" bestFit="1" customWidth="1"/>
    <col min="30" max="30" width="22.7109375" bestFit="1" customWidth="1"/>
    <col min="31" max="31" width="18.140625" bestFit="1" customWidth="1"/>
    <col min="32" max="32" width="24.5703125" bestFit="1" customWidth="1"/>
    <col min="33" max="33" width="11.28515625" bestFit="1" customWidth="1"/>
    <col min="34" max="36" width="8.85546875" bestFit="1" customWidth="1"/>
    <col min="37" max="38" width="25.42578125" bestFit="1" customWidth="1"/>
    <col min="39" max="39" width="21" bestFit="1" customWidth="1"/>
  </cols>
  <sheetData>
    <row r="1" spans="1:23" x14ac:dyDescent="0.25">
      <c r="A1" s="1" t="s">
        <v>0</v>
      </c>
      <c r="B1" s="1" t="s">
        <v>1</v>
      </c>
      <c r="C1" s="1" t="s">
        <v>2</v>
      </c>
      <c r="D1" s="1" t="s">
        <v>3</v>
      </c>
      <c r="E1" s="1" t="s">
        <v>4</v>
      </c>
      <c r="F1" s="1" t="s">
        <v>5</v>
      </c>
      <c r="G1" s="1" t="s">
        <v>52</v>
      </c>
      <c r="H1" s="1" t="s">
        <v>6</v>
      </c>
      <c r="I1" s="1" t="s">
        <v>7</v>
      </c>
      <c r="J1" s="1" t="s">
        <v>8</v>
      </c>
      <c r="K1" s="1" t="s">
        <v>9</v>
      </c>
      <c r="L1" s="1" t="s">
        <v>10</v>
      </c>
      <c r="M1" s="1" t="s">
        <v>11</v>
      </c>
      <c r="O1" s="2" t="s">
        <v>41</v>
      </c>
      <c r="P1" t="s">
        <v>49</v>
      </c>
      <c r="Q1" t="s">
        <v>50</v>
      </c>
      <c r="R1" t="s">
        <v>53</v>
      </c>
      <c r="T1" s="2" t="s">
        <v>45</v>
      </c>
      <c r="U1" s="2" t="s">
        <v>43</v>
      </c>
    </row>
    <row r="2" spans="1:23" x14ac:dyDescent="0.25">
      <c r="A2" t="s">
        <v>12</v>
      </c>
      <c r="B2" t="s">
        <v>13</v>
      </c>
      <c r="C2">
        <v>2020</v>
      </c>
      <c r="D2" t="s">
        <v>14</v>
      </c>
      <c r="E2">
        <v>152</v>
      </c>
      <c r="F2">
        <v>152</v>
      </c>
      <c r="G2" s="10">
        <f xml:space="preserve"> AVERAGE(F2/E2)</f>
        <v>1</v>
      </c>
      <c r="H2">
        <v>11.7</v>
      </c>
      <c r="I2">
        <v>1050645</v>
      </c>
      <c r="J2">
        <v>128</v>
      </c>
      <c r="K2">
        <v>98</v>
      </c>
      <c r="L2" t="s">
        <v>15</v>
      </c>
      <c r="M2" t="s">
        <v>16</v>
      </c>
      <c r="O2" s="3" t="s">
        <v>12</v>
      </c>
      <c r="P2">
        <v>44051</v>
      </c>
      <c r="Q2">
        <v>28317</v>
      </c>
      <c r="R2" s="11">
        <v>0.71438707976726268</v>
      </c>
      <c r="T2" s="2" t="s">
        <v>41</v>
      </c>
      <c r="U2" t="s">
        <v>12</v>
      </c>
      <c r="V2" t="s">
        <v>25</v>
      </c>
      <c r="W2" t="s">
        <v>42</v>
      </c>
    </row>
    <row r="3" spans="1:23" x14ac:dyDescent="0.25">
      <c r="A3" t="s">
        <v>12</v>
      </c>
      <c r="B3" t="s">
        <v>17</v>
      </c>
      <c r="C3">
        <v>2020</v>
      </c>
      <c r="D3" t="s">
        <v>18</v>
      </c>
      <c r="E3">
        <v>273</v>
      </c>
      <c r="F3">
        <v>273</v>
      </c>
      <c r="G3" s="10">
        <f t="shared" ref="G3:G66" si="0" xml:space="preserve"> AVERAGE(F3/E3)</f>
        <v>1</v>
      </c>
      <c r="H3">
        <v>3.1</v>
      </c>
      <c r="I3">
        <v>995635</v>
      </c>
      <c r="J3">
        <v>112</v>
      </c>
      <c r="K3">
        <v>93</v>
      </c>
      <c r="L3" t="s">
        <v>19</v>
      </c>
      <c r="M3" t="s">
        <v>20</v>
      </c>
      <c r="O3" s="4" t="s">
        <v>35</v>
      </c>
      <c r="P3">
        <v>691</v>
      </c>
      <c r="Q3">
        <v>273</v>
      </c>
      <c r="R3" s="11">
        <v>0.56000000000000005</v>
      </c>
      <c r="T3" s="3" t="s">
        <v>35</v>
      </c>
      <c r="U3" s="5">
        <v>1994522</v>
      </c>
      <c r="V3" s="5">
        <v>6939249</v>
      </c>
      <c r="W3" s="5">
        <v>8933771</v>
      </c>
    </row>
    <row r="4" spans="1:23" x14ac:dyDescent="0.25">
      <c r="A4" t="s">
        <v>12</v>
      </c>
      <c r="B4" t="s">
        <v>21</v>
      </c>
      <c r="C4">
        <v>2024</v>
      </c>
      <c r="D4" t="s">
        <v>22</v>
      </c>
      <c r="E4">
        <v>708</v>
      </c>
      <c r="F4">
        <v>541</v>
      </c>
      <c r="G4" s="10">
        <f t="shared" si="0"/>
        <v>0.76412429378531077</v>
      </c>
      <c r="H4">
        <v>16.600000000000001</v>
      </c>
      <c r="I4">
        <v>2051827</v>
      </c>
      <c r="J4">
        <v>43</v>
      </c>
      <c r="K4">
        <v>71</v>
      </c>
      <c r="L4" t="s">
        <v>23</v>
      </c>
      <c r="M4" t="s">
        <v>24</v>
      </c>
      <c r="O4" s="4" t="s">
        <v>38</v>
      </c>
      <c r="P4">
        <v>4153</v>
      </c>
      <c r="Q4">
        <v>2301</v>
      </c>
      <c r="R4" s="11">
        <v>0.67947787977609697</v>
      </c>
      <c r="T4" s="3" t="s">
        <v>38</v>
      </c>
      <c r="U4" s="5">
        <v>8698845</v>
      </c>
      <c r="V4" s="5">
        <v>10509282</v>
      </c>
      <c r="W4" s="5">
        <v>19208127</v>
      </c>
    </row>
    <row r="5" spans="1:23" x14ac:dyDescent="0.25">
      <c r="A5" t="s">
        <v>25</v>
      </c>
      <c r="B5" t="s">
        <v>26</v>
      </c>
      <c r="C5">
        <v>2020</v>
      </c>
      <c r="D5" t="s">
        <v>12</v>
      </c>
      <c r="E5">
        <v>716</v>
      </c>
      <c r="F5">
        <v>97</v>
      </c>
      <c r="G5" s="10">
        <f t="shared" si="0"/>
        <v>0.13547486033519554</v>
      </c>
      <c r="H5">
        <v>7.9</v>
      </c>
      <c r="I5">
        <v>1716124</v>
      </c>
      <c r="J5">
        <v>88</v>
      </c>
      <c r="K5">
        <v>75</v>
      </c>
      <c r="L5" t="s">
        <v>27</v>
      </c>
      <c r="M5" t="s">
        <v>24</v>
      </c>
      <c r="O5" s="4" t="s">
        <v>40</v>
      </c>
      <c r="P5">
        <v>2534</v>
      </c>
      <c r="Q5">
        <v>915</v>
      </c>
      <c r="R5" s="11">
        <v>0.52180797785664856</v>
      </c>
      <c r="T5" s="3" t="s">
        <v>40</v>
      </c>
      <c r="U5" s="5">
        <v>6097260</v>
      </c>
      <c r="V5" s="5">
        <v>7377352</v>
      </c>
      <c r="W5" s="5">
        <v>13474612</v>
      </c>
    </row>
    <row r="6" spans="1:23" x14ac:dyDescent="0.25">
      <c r="A6" t="s">
        <v>12</v>
      </c>
      <c r="B6" t="s">
        <v>28</v>
      </c>
      <c r="C6">
        <v>2022</v>
      </c>
      <c r="D6" t="s">
        <v>29</v>
      </c>
      <c r="E6">
        <v>949</v>
      </c>
      <c r="F6">
        <v>132</v>
      </c>
      <c r="G6" s="10">
        <f t="shared" si="0"/>
        <v>0.13909378292939936</v>
      </c>
      <c r="H6">
        <v>9</v>
      </c>
      <c r="I6">
        <v>1235791</v>
      </c>
      <c r="J6">
        <v>100</v>
      </c>
      <c r="K6">
        <v>62</v>
      </c>
      <c r="L6" t="s">
        <v>27</v>
      </c>
      <c r="M6" t="s">
        <v>30</v>
      </c>
      <c r="O6" s="4" t="s">
        <v>17</v>
      </c>
      <c r="P6">
        <v>6178</v>
      </c>
      <c r="Q6">
        <v>4187</v>
      </c>
      <c r="R6" s="11">
        <v>0.75445205879585564</v>
      </c>
      <c r="T6" s="3" t="s">
        <v>17</v>
      </c>
      <c r="U6" s="5">
        <v>12593503</v>
      </c>
      <c r="V6" s="5">
        <v>6523923</v>
      </c>
      <c r="W6" s="5">
        <v>19117426</v>
      </c>
    </row>
    <row r="7" spans="1:23" x14ac:dyDescent="0.25">
      <c r="A7" t="s">
        <v>25</v>
      </c>
      <c r="B7" t="s">
        <v>31</v>
      </c>
      <c r="C7">
        <v>2018</v>
      </c>
      <c r="D7" t="s">
        <v>32</v>
      </c>
      <c r="E7">
        <v>373</v>
      </c>
      <c r="F7">
        <v>373</v>
      </c>
      <c r="G7" s="10">
        <f t="shared" si="0"/>
        <v>1</v>
      </c>
      <c r="H7">
        <v>15.5</v>
      </c>
      <c r="I7">
        <v>1913863</v>
      </c>
      <c r="J7">
        <v>87</v>
      </c>
      <c r="K7">
        <v>74</v>
      </c>
      <c r="L7" t="s">
        <v>23</v>
      </c>
      <c r="M7" t="s">
        <v>20</v>
      </c>
      <c r="O7" s="4" t="s">
        <v>21</v>
      </c>
      <c r="P7">
        <v>4077</v>
      </c>
      <c r="Q7">
        <v>3015</v>
      </c>
      <c r="R7" s="11">
        <v>0.80145728108245606</v>
      </c>
      <c r="T7" s="3" t="s">
        <v>21</v>
      </c>
      <c r="U7" s="5">
        <v>14437408</v>
      </c>
      <c r="V7" s="5">
        <v>11246494</v>
      </c>
      <c r="W7" s="5">
        <v>25683902</v>
      </c>
    </row>
    <row r="8" spans="1:23" x14ac:dyDescent="0.25">
      <c r="A8" t="s">
        <v>25</v>
      </c>
      <c r="B8" t="s">
        <v>33</v>
      </c>
      <c r="C8">
        <v>2024</v>
      </c>
      <c r="D8" t="s">
        <v>34</v>
      </c>
      <c r="E8">
        <v>646</v>
      </c>
      <c r="F8">
        <v>80</v>
      </c>
      <c r="G8" s="10">
        <f t="shared" si="0"/>
        <v>0.1238390092879257</v>
      </c>
      <c r="H8">
        <v>10.5</v>
      </c>
      <c r="I8">
        <v>794512</v>
      </c>
      <c r="J8">
        <v>41</v>
      </c>
      <c r="K8">
        <v>97</v>
      </c>
      <c r="L8" t="s">
        <v>15</v>
      </c>
      <c r="M8" t="s">
        <v>24</v>
      </c>
      <c r="O8" s="4" t="s">
        <v>33</v>
      </c>
      <c r="P8">
        <v>2456</v>
      </c>
      <c r="Q8">
        <v>1812</v>
      </c>
      <c r="R8" s="11">
        <v>0.78709458587374415</v>
      </c>
      <c r="T8" s="3" t="s">
        <v>33</v>
      </c>
      <c r="U8" s="5">
        <v>5119326</v>
      </c>
      <c r="V8" s="5">
        <v>4714345</v>
      </c>
      <c r="W8" s="5">
        <v>9833671</v>
      </c>
    </row>
    <row r="9" spans="1:23" x14ac:dyDescent="0.25">
      <c r="A9" t="s">
        <v>25</v>
      </c>
      <c r="B9" t="s">
        <v>35</v>
      </c>
      <c r="C9">
        <v>2020</v>
      </c>
      <c r="D9" t="s">
        <v>34</v>
      </c>
      <c r="E9">
        <v>654</v>
      </c>
      <c r="F9">
        <v>654</v>
      </c>
      <c r="G9" s="10">
        <f t="shared" si="0"/>
        <v>1</v>
      </c>
      <c r="H9">
        <v>11</v>
      </c>
      <c r="I9">
        <v>598179</v>
      </c>
      <c r="J9">
        <v>106</v>
      </c>
      <c r="K9">
        <v>98</v>
      </c>
      <c r="L9" t="s">
        <v>15</v>
      </c>
      <c r="M9" t="s">
        <v>24</v>
      </c>
      <c r="O9" s="4" t="s">
        <v>26</v>
      </c>
      <c r="P9">
        <v>4997</v>
      </c>
      <c r="Q9">
        <v>4585</v>
      </c>
      <c r="R9" s="11">
        <v>0.8889456498721553</v>
      </c>
      <c r="T9" s="3" t="s">
        <v>26</v>
      </c>
      <c r="U9" s="5">
        <v>10199079</v>
      </c>
      <c r="V9" s="5">
        <v>12244545</v>
      </c>
      <c r="W9" s="5">
        <v>22443624</v>
      </c>
    </row>
    <row r="10" spans="1:23" x14ac:dyDescent="0.25">
      <c r="A10" t="s">
        <v>25</v>
      </c>
      <c r="B10" t="s">
        <v>36</v>
      </c>
      <c r="C10">
        <v>2024</v>
      </c>
      <c r="D10" t="s">
        <v>14</v>
      </c>
      <c r="E10">
        <v>583</v>
      </c>
      <c r="F10">
        <v>465</v>
      </c>
      <c r="G10" s="10">
        <f t="shared" si="0"/>
        <v>0.79759862778730706</v>
      </c>
      <c r="H10">
        <v>17.100000000000001</v>
      </c>
      <c r="I10">
        <v>1784103</v>
      </c>
      <c r="J10">
        <v>46</v>
      </c>
      <c r="K10">
        <v>91</v>
      </c>
      <c r="L10" t="s">
        <v>23</v>
      </c>
      <c r="M10" t="s">
        <v>37</v>
      </c>
      <c r="O10" s="4" t="s">
        <v>31</v>
      </c>
      <c r="P10">
        <v>5158</v>
      </c>
      <c r="Q10">
        <v>3475</v>
      </c>
      <c r="R10" s="11">
        <v>0.69711743294745487</v>
      </c>
      <c r="T10" s="3" t="s">
        <v>31</v>
      </c>
      <c r="U10" s="5">
        <v>11446983</v>
      </c>
      <c r="V10" s="5">
        <v>8508522</v>
      </c>
      <c r="W10" s="5">
        <v>19955505</v>
      </c>
    </row>
    <row r="11" spans="1:23" x14ac:dyDescent="0.25">
      <c r="A11" t="s">
        <v>12</v>
      </c>
      <c r="B11" t="s">
        <v>17</v>
      </c>
      <c r="C11">
        <v>2024</v>
      </c>
      <c r="D11" t="s">
        <v>12</v>
      </c>
      <c r="E11">
        <v>787</v>
      </c>
      <c r="F11">
        <v>295</v>
      </c>
      <c r="G11" s="10">
        <f t="shared" si="0"/>
        <v>0.37484116899618808</v>
      </c>
      <c r="H11">
        <v>18.100000000000001</v>
      </c>
      <c r="I11">
        <v>638298</v>
      </c>
      <c r="J11">
        <v>198</v>
      </c>
      <c r="K11">
        <v>77</v>
      </c>
      <c r="L11" t="s">
        <v>23</v>
      </c>
      <c r="M11" t="s">
        <v>24</v>
      </c>
      <c r="O11" s="4" t="s">
        <v>39</v>
      </c>
      <c r="P11">
        <v>3441</v>
      </c>
      <c r="Q11">
        <v>1285</v>
      </c>
      <c r="R11" s="11">
        <v>0.44299556076636321</v>
      </c>
      <c r="T11" s="3" t="s">
        <v>39</v>
      </c>
      <c r="U11" s="5">
        <v>9279480</v>
      </c>
      <c r="V11" s="5">
        <v>4994636</v>
      </c>
      <c r="W11" s="5">
        <v>14274116</v>
      </c>
    </row>
    <row r="12" spans="1:23" x14ac:dyDescent="0.25">
      <c r="A12" t="s">
        <v>25</v>
      </c>
      <c r="B12" t="s">
        <v>21</v>
      </c>
      <c r="C12">
        <v>2020</v>
      </c>
      <c r="D12" t="s">
        <v>14</v>
      </c>
      <c r="E12">
        <v>272</v>
      </c>
      <c r="F12">
        <v>272</v>
      </c>
      <c r="G12" s="10">
        <f t="shared" si="0"/>
        <v>1</v>
      </c>
      <c r="H12">
        <v>7.2</v>
      </c>
      <c r="I12">
        <v>914553</v>
      </c>
      <c r="J12">
        <v>148</v>
      </c>
      <c r="K12">
        <v>94</v>
      </c>
      <c r="L12" t="s">
        <v>27</v>
      </c>
      <c r="M12" t="s">
        <v>20</v>
      </c>
      <c r="O12" s="4" t="s">
        <v>28</v>
      </c>
      <c r="P12">
        <v>4571</v>
      </c>
      <c r="Q12">
        <v>2442</v>
      </c>
      <c r="R12" s="11">
        <v>0.63690285789157919</v>
      </c>
      <c r="T12" s="3" t="s">
        <v>28</v>
      </c>
      <c r="U12" s="5">
        <v>9901289</v>
      </c>
      <c r="V12" s="5">
        <v>11490396</v>
      </c>
      <c r="W12" s="5">
        <v>21391685</v>
      </c>
    </row>
    <row r="13" spans="1:23" x14ac:dyDescent="0.25">
      <c r="A13" t="s">
        <v>25</v>
      </c>
      <c r="B13" t="s">
        <v>38</v>
      </c>
      <c r="C13">
        <v>2023</v>
      </c>
      <c r="D13" t="s">
        <v>12</v>
      </c>
      <c r="E13">
        <v>503</v>
      </c>
      <c r="F13">
        <v>503</v>
      </c>
      <c r="G13" s="10">
        <f t="shared" si="0"/>
        <v>1</v>
      </c>
      <c r="H13">
        <v>6.3</v>
      </c>
      <c r="I13">
        <v>1894138</v>
      </c>
      <c r="J13">
        <v>154</v>
      </c>
      <c r="K13">
        <v>64</v>
      </c>
      <c r="L13" t="s">
        <v>27</v>
      </c>
      <c r="M13" t="s">
        <v>37</v>
      </c>
      <c r="O13" s="4" t="s">
        <v>36</v>
      </c>
      <c r="P13">
        <v>3128</v>
      </c>
      <c r="Q13">
        <v>2262</v>
      </c>
      <c r="R13" s="11">
        <v>0.76537546012455782</v>
      </c>
      <c r="T13" s="3" t="s">
        <v>36</v>
      </c>
      <c r="U13" s="5">
        <v>10768098</v>
      </c>
      <c r="V13" s="5">
        <v>11336181</v>
      </c>
      <c r="W13" s="5">
        <v>22104279</v>
      </c>
    </row>
    <row r="14" spans="1:23" x14ac:dyDescent="0.25">
      <c r="A14" t="s">
        <v>12</v>
      </c>
      <c r="B14" t="s">
        <v>31</v>
      </c>
      <c r="C14">
        <v>2020</v>
      </c>
      <c r="D14" t="s">
        <v>18</v>
      </c>
      <c r="E14">
        <v>896</v>
      </c>
      <c r="F14">
        <v>424</v>
      </c>
      <c r="G14" s="10">
        <f t="shared" si="0"/>
        <v>0.4732142857142857</v>
      </c>
      <c r="H14">
        <v>17.2</v>
      </c>
      <c r="I14">
        <v>646940</v>
      </c>
      <c r="J14">
        <v>61</v>
      </c>
      <c r="K14">
        <v>69</v>
      </c>
      <c r="L14" t="s">
        <v>23</v>
      </c>
      <c r="M14" t="s">
        <v>30</v>
      </c>
      <c r="O14" s="4" t="s">
        <v>13</v>
      </c>
      <c r="P14">
        <v>2667</v>
      </c>
      <c r="Q14">
        <v>1765</v>
      </c>
      <c r="R14" s="11">
        <v>0.7995915170287764</v>
      </c>
      <c r="T14" s="3" t="s">
        <v>13</v>
      </c>
      <c r="U14" s="5">
        <v>8588222</v>
      </c>
      <c r="V14" s="5">
        <v>4843216</v>
      </c>
      <c r="W14" s="5">
        <v>13431438</v>
      </c>
    </row>
    <row r="15" spans="1:23" x14ac:dyDescent="0.25">
      <c r="A15" t="s">
        <v>25</v>
      </c>
      <c r="B15" t="s">
        <v>38</v>
      </c>
      <c r="C15">
        <v>2021</v>
      </c>
      <c r="D15" t="s">
        <v>12</v>
      </c>
      <c r="E15">
        <v>612</v>
      </c>
      <c r="F15">
        <v>104</v>
      </c>
      <c r="G15" s="10">
        <f t="shared" si="0"/>
        <v>0.16993464052287582</v>
      </c>
      <c r="H15">
        <v>16.3</v>
      </c>
      <c r="I15">
        <v>1953890</v>
      </c>
      <c r="J15">
        <v>40</v>
      </c>
      <c r="K15">
        <v>67</v>
      </c>
      <c r="L15" t="s">
        <v>23</v>
      </c>
      <c r="M15" t="s">
        <v>24</v>
      </c>
      <c r="O15" s="3" t="s">
        <v>25</v>
      </c>
      <c r="P15">
        <v>36984</v>
      </c>
      <c r="Q15">
        <v>24669</v>
      </c>
      <c r="R15" s="11">
        <v>0.75156924898174893</v>
      </c>
      <c r="T15" s="3" t="s">
        <v>42</v>
      </c>
      <c r="U15" s="5">
        <v>109124015</v>
      </c>
      <c r="V15" s="5">
        <v>100728141</v>
      </c>
      <c r="W15" s="5">
        <v>209852156</v>
      </c>
    </row>
    <row r="16" spans="1:23" x14ac:dyDescent="0.25">
      <c r="A16" t="s">
        <v>12</v>
      </c>
      <c r="B16" t="s">
        <v>39</v>
      </c>
      <c r="C16">
        <v>2019</v>
      </c>
      <c r="D16" t="s">
        <v>34</v>
      </c>
      <c r="E16">
        <v>378</v>
      </c>
      <c r="F16">
        <v>151</v>
      </c>
      <c r="G16" s="10">
        <f t="shared" si="0"/>
        <v>0.39947089947089948</v>
      </c>
      <c r="H16">
        <v>11.5</v>
      </c>
      <c r="I16">
        <v>2343950</v>
      </c>
      <c r="J16">
        <v>129</v>
      </c>
      <c r="K16">
        <v>94</v>
      </c>
      <c r="L16" t="s">
        <v>15</v>
      </c>
      <c r="M16" t="s">
        <v>20</v>
      </c>
      <c r="O16" s="4" t="s">
        <v>35</v>
      </c>
      <c r="P16">
        <v>2575</v>
      </c>
      <c r="Q16">
        <v>2418</v>
      </c>
      <c r="R16" s="11">
        <v>0.93158153904268515</v>
      </c>
    </row>
    <row r="17" spans="1:24" ht="15.75" thickBot="1" x14ac:dyDescent="0.3">
      <c r="A17" t="s">
        <v>25</v>
      </c>
      <c r="B17" t="s">
        <v>31</v>
      </c>
      <c r="C17">
        <v>2020</v>
      </c>
      <c r="D17" t="s">
        <v>29</v>
      </c>
      <c r="E17">
        <v>819</v>
      </c>
      <c r="F17">
        <v>145</v>
      </c>
      <c r="G17" s="10">
        <f t="shared" si="0"/>
        <v>0.17704517704517705</v>
      </c>
      <c r="H17">
        <v>17.7</v>
      </c>
      <c r="I17">
        <v>942193</v>
      </c>
      <c r="J17">
        <v>94</v>
      </c>
      <c r="K17">
        <v>64</v>
      </c>
      <c r="L17" t="s">
        <v>23</v>
      </c>
      <c r="M17" t="s">
        <v>30</v>
      </c>
      <c r="O17" s="4" t="s">
        <v>38</v>
      </c>
      <c r="P17">
        <v>5496</v>
      </c>
      <c r="Q17">
        <v>2754</v>
      </c>
      <c r="R17" s="11">
        <v>0.55069883429032684</v>
      </c>
      <c r="T17" s="2" t="s">
        <v>47</v>
      </c>
      <c r="U17" s="2" t="s">
        <v>43</v>
      </c>
    </row>
    <row r="18" spans="1:24" ht="16.5" thickTop="1" thickBot="1" x14ac:dyDescent="0.3">
      <c r="A18" t="s">
        <v>25</v>
      </c>
      <c r="B18" t="s">
        <v>36</v>
      </c>
      <c r="C18">
        <v>2022</v>
      </c>
      <c r="D18" t="s">
        <v>32</v>
      </c>
      <c r="E18">
        <v>343</v>
      </c>
      <c r="F18">
        <v>228</v>
      </c>
      <c r="G18" s="10">
        <f t="shared" si="0"/>
        <v>0.66472303206997085</v>
      </c>
      <c r="H18">
        <v>8.3000000000000007</v>
      </c>
      <c r="I18">
        <v>1987198</v>
      </c>
      <c r="J18">
        <v>187</v>
      </c>
      <c r="K18">
        <v>93</v>
      </c>
      <c r="L18" t="s">
        <v>27</v>
      </c>
      <c r="M18" t="s">
        <v>20</v>
      </c>
      <c r="O18" s="4" t="s">
        <v>40</v>
      </c>
      <c r="P18">
        <v>2648</v>
      </c>
      <c r="Q18">
        <v>2175</v>
      </c>
      <c r="R18" s="11">
        <v>0.83164728342391836</v>
      </c>
      <c r="T18" s="2" t="s">
        <v>41</v>
      </c>
      <c r="U18" t="s">
        <v>12</v>
      </c>
      <c r="V18" t="s">
        <v>25</v>
      </c>
      <c r="W18" t="s">
        <v>42</v>
      </c>
      <c r="X18" s="14" t="s">
        <v>54</v>
      </c>
    </row>
    <row r="19" spans="1:24" ht="16.5" thickTop="1" thickBot="1" x14ac:dyDescent="0.3">
      <c r="A19" t="s">
        <v>25</v>
      </c>
      <c r="B19" t="s">
        <v>17</v>
      </c>
      <c r="C19">
        <v>2021</v>
      </c>
      <c r="D19" t="s">
        <v>29</v>
      </c>
      <c r="E19">
        <v>203</v>
      </c>
      <c r="F19">
        <v>153</v>
      </c>
      <c r="G19" s="10">
        <f t="shared" si="0"/>
        <v>0.75369458128078815</v>
      </c>
      <c r="H19">
        <v>19.100000000000001</v>
      </c>
      <c r="I19">
        <v>2496711</v>
      </c>
      <c r="J19">
        <v>96</v>
      </c>
      <c r="K19">
        <v>68</v>
      </c>
      <c r="L19" t="s">
        <v>23</v>
      </c>
      <c r="M19" t="s">
        <v>20</v>
      </c>
      <c r="O19" s="4" t="s">
        <v>17</v>
      </c>
      <c r="P19">
        <v>620</v>
      </c>
      <c r="Q19">
        <v>570</v>
      </c>
      <c r="R19" s="11">
        <v>0.91789819376026272</v>
      </c>
      <c r="T19" s="3" t="s">
        <v>35</v>
      </c>
      <c r="U19">
        <v>248</v>
      </c>
      <c r="V19">
        <v>783</v>
      </c>
      <c r="W19" s="13">
        <v>1031</v>
      </c>
      <c r="X19" s="15">
        <f>GETPIVOTDATA("Staff Count",$T$17,"Region","East Midlands")</f>
        <v>1031</v>
      </c>
    </row>
    <row r="20" spans="1:24" ht="16.5" thickTop="1" thickBot="1" x14ac:dyDescent="0.3">
      <c r="A20" t="s">
        <v>25</v>
      </c>
      <c r="B20" t="s">
        <v>38</v>
      </c>
      <c r="C20">
        <v>2023</v>
      </c>
      <c r="D20" t="s">
        <v>22</v>
      </c>
      <c r="E20">
        <v>961</v>
      </c>
      <c r="F20">
        <v>239</v>
      </c>
      <c r="G20" s="10">
        <f t="shared" si="0"/>
        <v>0.24869927159209157</v>
      </c>
      <c r="H20">
        <v>12</v>
      </c>
      <c r="I20">
        <v>577536</v>
      </c>
      <c r="J20">
        <v>142</v>
      </c>
      <c r="K20">
        <v>73</v>
      </c>
      <c r="L20" t="s">
        <v>15</v>
      </c>
      <c r="M20" t="s">
        <v>30</v>
      </c>
      <c r="O20" s="4" t="s">
        <v>21</v>
      </c>
      <c r="P20">
        <v>3636</v>
      </c>
      <c r="Q20">
        <v>2801</v>
      </c>
      <c r="R20" s="11">
        <v>0.88313297646598155</v>
      </c>
      <c r="T20" s="3" t="s">
        <v>38</v>
      </c>
      <c r="U20">
        <v>904</v>
      </c>
      <c r="V20">
        <v>1163</v>
      </c>
      <c r="W20">
        <v>2067</v>
      </c>
      <c r="X20" s="15">
        <f>GETPIVOTDATA("Staff Count",$T$17,"Region","East of England")</f>
        <v>2067</v>
      </c>
    </row>
    <row r="21" spans="1:24" ht="16.5" thickTop="1" thickBot="1" x14ac:dyDescent="0.3">
      <c r="A21" t="s">
        <v>25</v>
      </c>
      <c r="B21" t="s">
        <v>40</v>
      </c>
      <c r="C21">
        <v>2018</v>
      </c>
      <c r="D21" t="s">
        <v>14</v>
      </c>
      <c r="E21">
        <v>355</v>
      </c>
      <c r="F21">
        <v>355</v>
      </c>
      <c r="G21" s="10">
        <f t="shared" si="0"/>
        <v>1</v>
      </c>
      <c r="H21">
        <v>17.3</v>
      </c>
      <c r="I21">
        <v>1457685</v>
      </c>
      <c r="J21">
        <v>85</v>
      </c>
      <c r="K21">
        <v>82</v>
      </c>
      <c r="L21" t="s">
        <v>23</v>
      </c>
      <c r="M21" t="s">
        <v>20</v>
      </c>
      <c r="O21" s="4" t="s">
        <v>33</v>
      </c>
      <c r="P21">
        <v>1973</v>
      </c>
      <c r="Q21">
        <v>552</v>
      </c>
      <c r="R21" s="11">
        <v>0.32172240075210529</v>
      </c>
      <c r="T21" s="3" t="s">
        <v>40</v>
      </c>
      <c r="U21">
        <v>462</v>
      </c>
      <c r="V21">
        <v>598</v>
      </c>
      <c r="W21">
        <v>1060</v>
      </c>
      <c r="X21" s="15">
        <f>GETPIVOTDATA("Staff Count",$T$17,"Region","London")</f>
        <v>1060</v>
      </c>
    </row>
    <row r="22" spans="1:24" ht="16.5" thickTop="1" thickBot="1" x14ac:dyDescent="0.3">
      <c r="A22" t="s">
        <v>25</v>
      </c>
      <c r="B22" t="s">
        <v>17</v>
      </c>
      <c r="C22">
        <v>2024</v>
      </c>
      <c r="D22" t="s">
        <v>34</v>
      </c>
      <c r="E22">
        <v>304</v>
      </c>
      <c r="F22">
        <v>304</v>
      </c>
      <c r="G22" s="10">
        <f t="shared" si="0"/>
        <v>1</v>
      </c>
      <c r="H22">
        <v>12.1</v>
      </c>
      <c r="I22">
        <v>2083742</v>
      </c>
      <c r="J22">
        <v>81</v>
      </c>
      <c r="K22">
        <v>81</v>
      </c>
      <c r="L22" t="s">
        <v>15</v>
      </c>
      <c r="M22" t="s">
        <v>20</v>
      </c>
      <c r="O22" s="4" t="s">
        <v>26</v>
      </c>
      <c r="P22">
        <v>4630</v>
      </c>
      <c r="Q22">
        <v>2147</v>
      </c>
      <c r="R22" s="11">
        <v>0.55886352508951931</v>
      </c>
      <c r="T22" s="3" t="s">
        <v>17</v>
      </c>
      <c r="U22">
        <v>1246</v>
      </c>
      <c r="V22">
        <v>346</v>
      </c>
      <c r="W22">
        <v>1592</v>
      </c>
      <c r="X22" s="15">
        <f>GETPIVOTDATA("Staff Count",$T$17,"Region","North East")</f>
        <v>1592</v>
      </c>
    </row>
    <row r="23" spans="1:24" ht="16.5" thickTop="1" thickBot="1" x14ac:dyDescent="0.3">
      <c r="A23" t="s">
        <v>12</v>
      </c>
      <c r="B23" t="s">
        <v>36</v>
      </c>
      <c r="C23">
        <v>2022</v>
      </c>
      <c r="D23" t="s">
        <v>18</v>
      </c>
      <c r="E23">
        <v>368</v>
      </c>
      <c r="F23">
        <v>368</v>
      </c>
      <c r="G23" s="10">
        <f t="shared" si="0"/>
        <v>1</v>
      </c>
      <c r="H23">
        <v>11.9</v>
      </c>
      <c r="I23">
        <v>1373361</v>
      </c>
      <c r="J23">
        <v>89</v>
      </c>
      <c r="K23">
        <v>78</v>
      </c>
      <c r="L23" t="s">
        <v>15</v>
      </c>
      <c r="M23" t="s">
        <v>20</v>
      </c>
      <c r="O23" s="4" t="s">
        <v>31</v>
      </c>
      <c r="P23">
        <v>4496</v>
      </c>
      <c r="Q23">
        <v>3050</v>
      </c>
      <c r="R23" s="11">
        <v>0.75273899040059378</v>
      </c>
      <c r="T23" s="3" t="s">
        <v>21</v>
      </c>
      <c r="U23">
        <v>1090</v>
      </c>
      <c r="V23">
        <v>959</v>
      </c>
      <c r="W23">
        <v>2049</v>
      </c>
      <c r="X23" s="15">
        <f>GETPIVOTDATA("Staff Count",$T$17,"Region","North West")</f>
        <v>2049</v>
      </c>
    </row>
    <row r="24" spans="1:24" ht="16.5" thickTop="1" thickBot="1" x14ac:dyDescent="0.3">
      <c r="A24" t="s">
        <v>12</v>
      </c>
      <c r="B24" t="s">
        <v>31</v>
      </c>
      <c r="C24">
        <v>2018</v>
      </c>
      <c r="D24" t="s">
        <v>22</v>
      </c>
      <c r="E24">
        <v>278</v>
      </c>
      <c r="F24">
        <v>105</v>
      </c>
      <c r="G24" s="10">
        <f t="shared" si="0"/>
        <v>0.37769784172661869</v>
      </c>
      <c r="H24">
        <v>10.5</v>
      </c>
      <c r="I24">
        <v>2043881</v>
      </c>
      <c r="J24">
        <v>96</v>
      </c>
      <c r="K24">
        <v>67</v>
      </c>
      <c r="L24" t="s">
        <v>15</v>
      </c>
      <c r="M24" t="s">
        <v>20</v>
      </c>
      <c r="O24" s="4" t="s">
        <v>39</v>
      </c>
      <c r="P24">
        <v>1752</v>
      </c>
      <c r="Q24">
        <v>1263</v>
      </c>
      <c r="R24" s="11">
        <v>0.86798056155507564</v>
      </c>
      <c r="T24" s="3" t="s">
        <v>33</v>
      </c>
      <c r="U24">
        <v>632</v>
      </c>
      <c r="V24">
        <v>225</v>
      </c>
      <c r="W24">
        <v>857</v>
      </c>
      <c r="X24" s="15">
        <f>GETPIVOTDATA("Staff Count",$T$17,"Region","Northern Ireland")</f>
        <v>857</v>
      </c>
    </row>
    <row r="25" spans="1:24" ht="16.5" thickTop="1" thickBot="1" x14ac:dyDescent="0.3">
      <c r="A25" t="s">
        <v>25</v>
      </c>
      <c r="B25" t="s">
        <v>39</v>
      </c>
      <c r="C25">
        <v>2022</v>
      </c>
      <c r="D25" t="s">
        <v>32</v>
      </c>
      <c r="E25">
        <v>294</v>
      </c>
      <c r="F25">
        <v>294</v>
      </c>
      <c r="G25" s="10">
        <f t="shared" si="0"/>
        <v>1</v>
      </c>
      <c r="H25">
        <v>7.3</v>
      </c>
      <c r="I25">
        <v>1723430</v>
      </c>
      <c r="J25">
        <v>191</v>
      </c>
      <c r="K25">
        <v>65</v>
      </c>
      <c r="L25" t="s">
        <v>27</v>
      </c>
      <c r="M25" t="s">
        <v>20</v>
      </c>
      <c r="O25" s="4" t="s">
        <v>28</v>
      </c>
      <c r="P25">
        <v>4574</v>
      </c>
      <c r="Q25">
        <v>3061</v>
      </c>
      <c r="R25" s="11">
        <v>0.7213326075678802</v>
      </c>
      <c r="T25" s="3" t="s">
        <v>26</v>
      </c>
      <c r="U25">
        <v>959</v>
      </c>
      <c r="V25">
        <v>966</v>
      </c>
      <c r="W25">
        <v>1925</v>
      </c>
      <c r="X25" s="15">
        <f>GETPIVOTDATA("Staff Count",$T$17,"Region","Scotland")</f>
        <v>1925</v>
      </c>
    </row>
    <row r="26" spans="1:24" ht="16.5" thickTop="1" thickBot="1" x14ac:dyDescent="0.3">
      <c r="A26" t="s">
        <v>12</v>
      </c>
      <c r="B26" t="s">
        <v>17</v>
      </c>
      <c r="C26">
        <v>2024</v>
      </c>
      <c r="D26" t="s">
        <v>12</v>
      </c>
      <c r="E26">
        <v>193</v>
      </c>
      <c r="F26">
        <v>193</v>
      </c>
      <c r="G26" s="10">
        <f t="shared" si="0"/>
        <v>1</v>
      </c>
      <c r="H26">
        <v>8.3000000000000007</v>
      </c>
      <c r="I26">
        <v>1684448</v>
      </c>
      <c r="J26">
        <v>47</v>
      </c>
      <c r="K26">
        <v>87</v>
      </c>
      <c r="L26" t="s">
        <v>27</v>
      </c>
      <c r="M26" t="s">
        <v>16</v>
      </c>
      <c r="O26" s="4" t="s">
        <v>36</v>
      </c>
      <c r="P26">
        <v>3281</v>
      </c>
      <c r="Q26">
        <v>2575</v>
      </c>
      <c r="R26" s="11">
        <v>0.80242982073032021</v>
      </c>
      <c r="T26" s="3" t="s">
        <v>31</v>
      </c>
      <c r="U26">
        <v>832</v>
      </c>
      <c r="V26">
        <v>648</v>
      </c>
      <c r="W26">
        <v>1480</v>
      </c>
      <c r="X26" s="15">
        <f>GETPIVOTDATA("Staff Count",$T$17,"Region","South East")</f>
        <v>1480</v>
      </c>
    </row>
    <row r="27" spans="1:24" ht="16.5" thickTop="1" thickBot="1" x14ac:dyDescent="0.3">
      <c r="A27" t="s">
        <v>25</v>
      </c>
      <c r="B27" t="s">
        <v>36</v>
      </c>
      <c r="C27">
        <v>2023</v>
      </c>
      <c r="D27" t="s">
        <v>34</v>
      </c>
      <c r="E27">
        <v>229</v>
      </c>
      <c r="F27">
        <v>229</v>
      </c>
      <c r="G27" s="10">
        <f t="shared" si="0"/>
        <v>1</v>
      </c>
      <c r="H27">
        <v>9</v>
      </c>
      <c r="I27">
        <v>670643</v>
      </c>
      <c r="J27">
        <v>192</v>
      </c>
      <c r="K27">
        <v>81</v>
      </c>
      <c r="L27" t="s">
        <v>27</v>
      </c>
      <c r="M27" t="s">
        <v>20</v>
      </c>
      <c r="O27" s="4" t="s">
        <v>13</v>
      </c>
      <c r="P27">
        <v>1303</v>
      </c>
      <c r="Q27">
        <v>1303</v>
      </c>
      <c r="R27" s="11">
        <v>1</v>
      </c>
      <c r="T27" s="3" t="s">
        <v>39</v>
      </c>
      <c r="U27">
        <v>772</v>
      </c>
      <c r="V27">
        <v>610</v>
      </c>
      <c r="W27">
        <v>1382</v>
      </c>
      <c r="X27" s="15">
        <f>GETPIVOTDATA("Staff Count",$T$17,"Region","South West")</f>
        <v>1382</v>
      </c>
    </row>
    <row r="28" spans="1:24" ht="16.5" thickTop="1" thickBot="1" x14ac:dyDescent="0.3">
      <c r="A28" t="s">
        <v>12</v>
      </c>
      <c r="B28" t="s">
        <v>26</v>
      </c>
      <c r="C28">
        <v>2021</v>
      </c>
      <c r="D28" t="s">
        <v>18</v>
      </c>
      <c r="E28">
        <v>338</v>
      </c>
      <c r="F28">
        <v>109</v>
      </c>
      <c r="G28" s="10">
        <f t="shared" si="0"/>
        <v>0.3224852071005917</v>
      </c>
      <c r="H28">
        <v>3.3</v>
      </c>
      <c r="I28">
        <v>753279</v>
      </c>
      <c r="J28">
        <v>76</v>
      </c>
      <c r="K28">
        <v>78</v>
      </c>
      <c r="L28" t="s">
        <v>19</v>
      </c>
      <c r="M28" t="s">
        <v>20</v>
      </c>
      <c r="O28" s="3" t="s">
        <v>42</v>
      </c>
      <c r="P28">
        <v>81035</v>
      </c>
      <c r="Q28">
        <v>52986</v>
      </c>
      <c r="R28" s="11">
        <v>0.73173875873402272</v>
      </c>
      <c r="T28" s="3" t="s">
        <v>28</v>
      </c>
      <c r="U28">
        <v>995</v>
      </c>
      <c r="V28">
        <v>801</v>
      </c>
      <c r="W28">
        <v>1796</v>
      </c>
      <c r="X28" s="15">
        <f>GETPIVOTDATA("Staff Count",$T$17,"Region","Wales")</f>
        <v>1796</v>
      </c>
    </row>
    <row r="29" spans="1:24" ht="16.5" thickTop="1" thickBot="1" x14ac:dyDescent="0.3">
      <c r="A29" t="s">
        <v>12</v>
      </c>
      <c r="B29" t="s">
        <v>39</v>
      </c>
      <c r="C29">
        <v>2022</v>
      </c>
      <c r="D29" t="s">
        <v>22</v>
      </c>
      <c r="E29">
        <v>754</v>
      </c>
      <c r="F29">
        <v>86</v>
      </c>
      <c r="G29" s="10">
        <f t="shared" si="0"/>
        <v>0.11405835543766578</v>
      </c>
      <c r="H29">
        <v>8</v>
      </c>
      <c r="I29">
        <v>1150408</v>
      </c>
      <c r="J29">
        <v>53</v>
      </c>
      <c r="K29">
        <v>81</v>
      </c>
      <c r="L29" t="s">
        <v>27</v>
      </c>
      <c r="M29" t="s">
        <v>24</v>
      </c>
      <c r="T29" s="3" t="s">
        <v>36</v>
      </c>
      <c r="U29">
        <v>793</v>
      </c>
      <c r="V29">
        <v>963</v>
      </c>
      <c r="W29">
        <v>1756</v>
      </c>
      <c r="X29" s="15">
        <f>GETPIVOTDATA("Staff Count",$T$17,"Region","West Midlands")</f>
        <v>1756</v>
      </c>
    </row>
    <row r="30" spans="1:24" ht="16.5" thickTop="1" thickBot="1" x14ac:dyDescent="0.3">
      <c r="A30" t="s">
        <v>12</v>
      </c>
      <c r="B30" t="s">
        <v>21</v>
      </c>
      <c r="C30">
        <v>2021</v>
      </c>
      <c r="D30" t="s">
        <v>12</v>
      </c>
      <c r="E30">
        <v>624</v>
      </c>
      <c r="F30">
        <v>89</v>
      </c>
      <c r="G30" s="10">
        <f t="shared" si="0"/>
        <v>0.14262820512820512</v>
      </c>
      <c r="H30">
        <v>3.8</v>
      </c>
      <c r="I30">
        <v>1193310</v>
      </c>
      <c r="J30">
        <v>103</v>
      </c>
      <c r="K30">
        <v>98</v>
      </c>
      <c r="L30" t="s">
        <v>19</v>
      </c>
      <c r="M30" t="s">
        <v>24</v>
      </c>
      <c r="T30" s="3" t="s">
        <v>13</v>
      </c>
      <c r="U30">
        <v>1082</v>
      </c>
      <c r="V30">
        <v>152</v>
      </c>
      <c r="W30">
        <v>1234</v>
      </c>
      <c r="X30" s="15">
        <f>GETPIVOTDATA("Staff Count",$T$17,"Region","Yorkshire and the Humber")</f>
        <v>1234</v>
      </c>
    </row>
    <row r="31" spans="1:24" ht="15.75" thickTop="1" x14ac:dyDescent="0.25">
      <c r="A31" t="s">
        <v>25</v>
      </c>
      <c r="B31" t="s">
        <v>39</v>
      </c>
      <c r="C31">
        <v>2018</v>
      </c>
      <c r="D31" t="s">
        <v>14</v>
      </c>
      <c r="E31">
        <v>270</v>
      </c>
      <c r="F31">
        <v>270</v>
      </c>
      <c r="G31" s="10">
        <f t="shared" si="0"/>
        <v>1</v>
      </c>
      <c r="H31">
        <v>19.3</v>
      </c>
      <c r="I31">
        <v>1135651</v>
      </c>
      <c r="J31">
        <v>154</v>
      </c>
      <c r="K31">
        <v>75</v>
      </c>
      <c r="L31" t="s">
        <v>23</v>
      </c>
      <c r="M31" t="s">
        <v>20</v>
      </c>
      <c r="O31" s="2" t="s">
        <v>44</v>
      </c>
      <c r="P31" s="2" t="s">
        <v>43</v>
      </c>
      <c r="T31" s="3" t="s">
        <v>42</v>
      </c>
      <c r="U31">
        <v>10015</v>
      </c>
      <c r="V31">
        <v>8214</v>
      </c>
      <c r="W31">
        <v>18229</v>
      </c>
    </row>
    <row r="32" spans="1:24" x14ac:dyDescent="0.25">
      <c r="A32" t="s">
        <v>12</v>
      </c>
      <c r="B32" t="s">
        <v>21</v>
      </c>
      <c r="C32">
        <v>2022</v>
      </c>
      <c r="D32" t="s">
        <v>32</v>
      </c>
      <c r="E32">
        <v>421</v>
      </c>
      <c r="F32">
        <v>325</v>
      </c>
      <c r="G32" s="10">
        <f t="shared" si="0"/>
        <v>0.77197149643705465</v>
      </c>
      <c r="H32">
        <v>13.4</v>
      </c>
      <c r="I32">
        <v>2163263</v>
      </c>
      <c r="J32">
        <v>124</v>
      </c>
      <c r="K32">
        <v>91</v>
      </c>
      <c r="L32" t="s">
        <v>15</v>
      </c>
      <c r="M32" t="s">
        <v>37</v>
      </c>
      <c r="O32" s="2" t="s">
        <v>41</v>
      </c>
      <c r="P32" t="s">
        <v>12</v>
      </c>
      <c r="Q32" t="s">
        <v>25</v>
      </c>
      <c r="R32" t="s">
        <v>42</v>
      </c>
    </row>
    <row r="33" spans="1:21" x14ac:dyDescent="0.25">
      <c r="A33" t="s">
        <v>12</v>
      </c>
      <c r="B33" t="s">
        <v>31</v>
      </c>
      <c r="C33">
        <v>2024</v>
      </c>
      <c r="D33" t="s">
        <v>12</v>
      </c>
      <c r="E33">
        <v>269</v>
      </c>
      <c r="F33">
        <v>224</v>
      </c>
      <c r="G33" s="10">
        <f t="shared" si="0"/>
        <v>0.83271375464684017</v>
      </c>
      <c r="H33">
        <v>8.9</v>
      </c>
      <c r="I33">
        <v>1810091</v>
      </c>
      <c r="J33">
        <v>89</v>
      </c>
      <c r="K33">
        <v>82</v>
      </c>
      <c r="L33" t="s">
        <v>27</v>
      </c>
      <c r="M33" t="s">
        <v>20</v>
      </c>
      <c r="O33" s="3" t="s">
        <v>29</v>
      </c>
      <c r="P33">
        <v>7</v>
      </c>
      <c r="Q33">
        <v>7</v>
      </c>
      <c r="R33">
        <v>14</v>
      </c>
      <c r="T33" s="2" t="s">
        <v>41</v>
      </c>
      <c r="U33" t="s">
        <v>48</v>
      </c>
    </row>
    <row r="34" spans="1:21" x14ac:dyDescent="0.25">
      <c r="A34" t="s">
        <v>25</v>
      </c>
      <c r="B34" t="s">
        <v>39</v>
      </c>
      <c r="C34">
        <v>2020</v>
      </c>
      <c r="D34" t="s">
        <v>34</v>
      </c>
      <c r="E34">
        <v>926</v>
      </c>
      <c r="F34">
        <v>437</v>
      </c>
      <c r="G34" s="10">
        <f t="shared" si="0"/>
        <v>0.47192224622030238</v>
      </c>
      <c r="H34">
        <v>4.3</v>
      </c>
      <c r="I34">
        <v>636733</v>
      </c>
      <c r="J34">
        <v>152</v>
      </c>
      <c r="K34">
        <v>98</v>
      </c>
      <c r="L34" t="s">
        <v>19</v>
      </c>
      <c r="M34" t="s">
        <v>30</v>
      </c>
      <c r="O34" s="3" t="s">
        <v>14</v>
      </c>
      <c r="P34">
        <v>11</v>
      </c>
      <c r="Q34">
        <v>14</v>
      </c>
      <c r="R34">
        <v>25</v>
      </c>
      <c r="T34" s="3" t="s">
        <v>12</v>
      </c>
      <c r="U34" s="6">
        <v>79.837500000000006</v>
      </c>
    </row>
    <row r="35" spans="1:21" x14ac:dyDescent="0.25">
      <c r="A35" t="s">
        <v>25</v>
      </c>
      <c r="B35" t="s">
        <v>26</v>
      </c>
      <c r="C35">
        <v>2021</v>
      </c>
      <c r="D35" t="s">
        <v>22</v>
      </c>
      <c r="E35">
        <v>208</v>
      </c>
      <c r="F35">
        <v>208</v>
      </c>
      <c r="G35" s="10">
        <f t="shared" si="0"/>
        <v>1</v>
      </c>
      <c r="H35">
        <v>6.8</v>
      </c>
      <c r="I35">
        <v>739258</v>
      </c>
      <c r="J35">
        <v>107</v>
      </c>
      <c r="K35">
        <v>72</v>
      </c>
      <c r="L35" t="s">
        <v>27</v>
      </c>
      <c r="M35" t="s">
        <v>20</v>
      </c>
      <c r="O35" s="3" t="s">
        <v>34</v>
      </c>
      <c r="P35">
        <v>11</v>
      </c>
      <c r="Q35">
        <v>14</v>
      </c>
      <c r="R35">
        <v>25</v>
      </c>
      <c r="T35" s="4" t="s">
        <v>35</v>
      </c>
      <c r="U35" s="6">
        <v>83.5</v>
      </c>
    </row>
    <row r="36" spans="1:21" x14ac:dyDescent="0.25">
      <c r="A36" t="s">
        <v>25</v>
      </c>
      <c r="B36" t="s">
        <v>28</v>
      </c>
      <c r="C36">
        <v>2022</v>
      </c>
      <c r="D36" t="s">
        <v>32</v>
      </c>
      <c r="E36">
        <v>855</v>
      </c>
      <c r="F36">
        <v>649</v>
      </c>
      <c r="G36" s="10">
        <f t="shared" si="0"/>
        <v>0.75906432748538011</v>
      </c>
      <c r="H36">
        <v>17.3</v>
      </c>
      <c r="I36">
        <v>1813579</v>
      </c>
      <c r="J36">
        <v>194</v>
      </c>
      <c r="K36">
        <v>65</v>
      </c>
      <c r="L36" t="s">
        <v>23</v>
      </c>
      <c r="M36" t="s">
        <v>30</v>
      </c>
      <c r="O36" s="3" t="s">
        <v>12</v>
      </c>
      <c r="P36">
        <v>18</v>
      </c>
      <c r="Q36">
        <v>7</v>
      </c>
      <c r="R36">
        <v>25</v>
      </c>
      <c r="T36" s="4" t="s">
        <v>38</v>
      </c>
      <c r="U36" s="6">
        <v>72.285714285714292</v>
      </c>
    </row>
    <row r="37" spans="1:21" x14ac:dyDescent="0.25">
      <c r="A37" t="s">
        <v>25</v>
      </c>
      <c r="B37" t="s">
        <v>40</v>
      </c>
      <c r="C37">
        <v>2024</v>
      </c>
      <c r="D37" t="s">
        <v>32</v>
      </c>
      <c r="E37">
        <v>780</v>
      </c>
      <c r="F37">
        <v>780</v>
      </c>
      <c r="G37" s="10">
        <f t="shared" si="0"/>
        <v>1</v>
      </c>
      <c r="H37">
        <v>16.600000000000001</v>
      </c>
      <c r="I37">
        <v>1703128</v>
      </c>
      <c r="J37">
        <v>193</v>
      </c>
      <c r="K37">
        <v>70</v>
      </c>
      <c r="L37" t="s">
        <v>23</v>
      </c>
      <c r="M37" t="s">
        <v>24</v>
      </c>
      <c r="O37" s="3" t="s">
        <v>22</v>
      </c>
      <c r="P37">
        <v>11</v>
      </c>
      <c r="Q37">
        <v>8</v>
      </c>
      <c r="R37">
        <v>19</v>
      </c>
      <c r="T37" s="4" t="s">
        <v>40</v>
      </c>
      <c r="U37" s="6">
        <v>75.8</v>
      </c>
    </row>
    <row r="38" spans="1:21" x14ac:dyDescent="0.25">
      <c r="A38" t="s">
        <v>25</v>
      </c>
      <c r="B38" t="s">
        <v>31</v>
      </c>
      <c r="C38">
        <v>2023</v>
      </c>
      <c r="D38" t="s">
        <v>14</v>
      </c>
      <c r="E38">
        <v>771</v>
      </c>
      <c r="F38">
        <v>771</v>
      </c>
      <c r="G38" s="10">
        <f t="shared" si="0"/>
        <v>1</v>
      </c>
      <c r="H38">
        <v>6.3</v>
      </c>
      <c r="I38">
        <v>979153</v>
      </c>
      <c r="J38">
        <v>132</v>
      </c>
      <c r="K38">
        <v>66</v>
      </c>
      <c r="L38" t="s">
        <v>27</v>
      </c>
      <c r="M38" t="s">
        <v>24</v>
      </c>
      <c r="O38" s="3" t="s">
        <v>32</v>
      </c>
      <c r="P38">
        <v>14</v>
      </c>
      <c r="Q38">
        <v>12</v>
      </c>
      <c r="R38">
        <v>26</v>
      </c>
      <c r="T38" s="4" t="s">
        <v>17</v>
      </c>
      <c r="U38" s="6">
        <v>83.6</v>
      </c>
    </row>
    <row r="39" spans="1:21" x14ac:dyDescent="0.25">
      <c r="A39" t="s">
        <v>25</v>
      </c>
      <c r="B39" t="s">
        <v>38</v>
      </c>
      <c r="C39">
        <v>2018</v>
      </c>
      <c r="D39" t="s">
        <v>18</v>
      </c>
      <c r="E39">
        <v>107</v>
      </c>
      <c r="F39">
        <v>53</v>
      </c>
      <c r="G39" s="10">
        <f t="shared" si="0"/>
        <v>0.49532710280373832</v>
      </c>
      <c r="H39">
        <v>17.100000000000001</v>
      </c>
      <c r="I39">
        <v>1085385</v>
      </c>
      <c r="J39">
        <v>170</v>
      </c>
      <c r="K39">
        <v>94</v>
      </c>
      <c r="L39" t="s">
        <v>23</v>
      </c>
      <c r="M39" t="s">
        <v>16</v>
      </c>
      <c r="O39" s="3" t="s">
        <v>18</v>
      </c>
      <c r="P39">
        <v>8</v>
      </c>
      <c r="Q39">
        <v>8</v>
      </c>
      <c r="R39">
        <v>16</v>
      </c>
      <c r="T39" s="4" t="s">
        <v>21</v>
      </c>
      <c r="U39" s="6">
        <v>81.333333333333329</v>
      </c>
    </row>
    <row r="40" spans="1:21" x14ac:dyDescent="0.25">
      <c r="A40" t="s">
        <v>12</v>
      </c>
      <c r="B40" t="s">
        <v>33</v>
      </c>
      <c r="C40">
        <v>2020</v>
      </c>
      <c r="D40" t="s">
        <v>34</v>
      </c>
      <c r="E40">
        <v>151</v>
      </c>
      <c r="F40">
        <v>151</v>
      </c>
      <c r="G40" s="10">
        <f t="shared" si="0"/>
        <v>1</v>
      </c>
      <c r="H40">
        <v>19</v>
      </c>
      <c r="I40">
        <v>993438</v>
      </c>
      <c r="J40">
        <v>178</v>
      </c>
      <c r="K40">
        <v>88</v>
      </c>
      <c r="L40" t="s">
        <v>23</v>
      </c>
      <c r="M40" t="s">
        <v>16</v>
      </c>
      <c r="O40" s="3" t="s">
        <v>42</v>
      </c>
      <c r="P40">
        <v>80</v>
      </c>
      <c r="Q40">
        <v>70</v>
      </c>
      <c r="R40">
        <v>150</v>
      </c>
      <c r="T40" s="4" t="s">
        <v>33</v>
      </c>
      <c r="U40" s="6">
        <v>80.5</v>
      </c>
    </row>
    <row r="41" spans="1:21" x14ac:dyDescent="0.25">
      <c r="A41" t="s">
        <v>12</v>
      </c>
      <c r="B41" t="s">
        <v>38</v>
      </c>
      <c r="C41">
        <v>2021</v>
      </c>
      <c r="D41" t="s">
        <v>22</v>
      </c>
      <c r="E41">
        <v>845</v>
      </c>
      <c r="F41">
        <v>691</v>
      </c>
      <c r="G41" s="10">
        <f t="shared" si="0"/>
        <v>0.81775147928994085</v>
      </c>
      <c r="H41">
        <v>15</v>
      </c>
      <c r="I41">
        <v>1454509</v>
      </c>
      <c r="J41">
        <v>109</v>
      </c>
      <c r="K41">
        <v>70</v>
      </c>
      <c r="L41" t="s">
        <v>23</v>
      </c>
      <c r="M41" t="s">
        <v>30</v>
      </c>
      <c r="T41" s="4" t="s">
        <v>26</v>
      </c>
      <c r="U41" s="6">
        <v>80</v>
      </c>
    </row>
    <row r="42" spans="1:21" x14ac:dyDescent="0.25">
      <c r="A42" t="s">
        <v>12</v>
      </c>
      <c r="B42" t="s">
        <v>31</v>
      </c>
      <c r="C42">
        <v>2021</v>
      </c>
      <c r="D42" t="s">
        <v>32</v>
      </c>
      <c r="E42">
        <v>850</v>
      </c>
      <c r="F42">
        <v>850</v>
      </c>
      <c r="G42" s="10">
        <f t="shared" si="0"/>
        <v>1</v>
      </c>
      <c r="H42">
        <v>3.1</v>
      </c>
      <c r="I42">
        <v>861650</v>
      </c>
      <c r="J42">
        <v>123</v>
      </c>
      <c r="K42">
        <v>78</v>
      </c>
      <c r="L42" t="s">
        <v>19</v>
      </c>
      <c r="M42" t="s">
        <v>30</v>
      </c>
      <c r="T42" s="4" t="s">
        <v>31</v>
      </c>
      <c r="U42" s="6">
        <v>73.125</v>
      </c>
    </row>
    <row r="43" spans="1:21" x14ac:dyDescent="0.25">
      <c r="A43" t="s">
        <v>25</v>
      </c>
      <c r="B43" t="s">
        <v>38</v>
      </c>
      <c r="C43">
        <v>2021</v>
      </c>
      <c r="D43" t="s">
        <v>14</v>
      </c>
      <c r="E43">
        <v>966</v>
      </c>
      <c r="F43">
        <v>686</v>
      </c>
      <c r="G43" s="10">
        <f t="shared" si="0"/>
        <v>0.71014492753623193</v>
      </c>
      <c r="H43">
        <v>17.7</v>
      </c>
      <c r="I43">
        <v>858402</v>
      </c>
      <c r="J43">
        <v>94</v>
      </c>
      <c r="K43">
        <v>64</v>
      </c>
      <c r="L43" t="s">
        <v>23</v>
      </c>
      <c r="M43" t="s">
        <v>30</v>
      </c>
      <c r="O43" s="2" t="s">
        <v>46</v>
      </c>
      <c r="P43" s="2" t="s">
        <v>43</v>
      </c>
      <c r="T43" s="4" t="s">
        <v>39</v>
      </c>
      <c r="U43" s="6">
        <v>80.333333333333329</v>
      </c>
    </row>
    <row r="44" spans="1:21" x14ac:dyDescent="0.25">
      <c r="A44" t="s">
        <v>12</v>
      </c>
      <c r="B44" t="s">
        <v>17</v>
      </c>
      <c r="C44">
        <v>2022</v>
      </c>
      <c r="D44" t="s">
        <v>34</v>
      </c>
      <c r="E44">
        <v>879</v>
      </c>
      <c r="F44">
        <v>663</v>
      </c>
      <c r="G44" s="10">
        <f t="shared" si="0"/>
        <v>0.75426621160409557</v>
      </c>
      <c r="H44">
        <v>4.3</v>
      </c>
      <c r="I44">
        <v>1473688</v>
      </c>
      <c r="J44">
        <v>168</v>
      </c>
      <c r="K44">
        <v>86</v>
      </c>
      <c r="L44" t="s">
        <v>19</v>
      </c>
      <c r="M44" t="s">
        <v>30</v>
      </c>
      <c r="O44" s="2" t="s">
        <v>41</v>
      </c>
      <c r="P44" t="s">
        <v>12</v>
      </c>
      <c r="Q44" t="s">
        <v>25</v>
      </c>
      <c r="R44" t="s">
        <v>42</v>
      </c>
      <c r="T44" s="4" t="s">
        <v>28</v>
      </c>
      <c r="U44" s="6">
        <v>81</v>
      </c>
    </row>
    <row r="45" spans="1:21" x14ac:dyDescent="0.25">
      <c r="A45" t="s">
        <v>25</v>
      </c>
      <c r="B45" t="s">
        <v>28</v>
      </c>
      <c r="C45">
        <v>2022</v>
      </c>
      <c r="D45" t="s">
        <v>32</v>
      </c>
      <c r="E45">
        <v>662</v>
      </c>
      <c r="F45">
        <v>166</v>
      </c>
      <c r="G45" s="10">
        <f t="shared" si="0"/>
        <v>0.25075528700906347</v>
      </c>
      <c r="H45">
        <v>14.8</v>
      </c>
      <c r="I45">
        <v>906513</v>
      </c>
      <c r="J45">
        <v>129</v>
      </c>
      <c r="K45">
        <v>75</v>
      </c>
      <c r="L45" t="s">
        <v>15</v>
      </c>
      <c r="M45" t="s">
        <v>24</v>
      </c>
      <c r="O45" s="3" t="s">
        <v>35</v>
      </c>
      <c r="P45" s="6">
        <v>14.2</v>
      </c>
      <c r="Q45" s="6">
        <v>7.8166666666666673</v>
      </c>
      <c r="R45" s="7">
        <v>9.4124999999999996</v>
      </c>
      <c r="T45" s="4" t="s">
        <v>36</v>
      </c>
      <c r="U45" s="6">
        <v>84.142857142857139</v>
      </c>
    </row>
    <row r="46" spans="1:21" x14ac:dyDescent="0.25">
      <c r="A46" t="s">
        <v>25</v>
      </c>
      <c r="B46" t="s">
        <v>36</v>
      </c>
      <c r="C46">
        <v>2020</v>
      </c>
      <c r="D46" t="s">
        <v>12</v>
      </c>
      <c r="E46">
        <v>624</v>
      </c>
      <c r="F46">
        <v>419</v>
      </c>
      <c r="G46" s="10">
        <f t="shared" si="0"/>
        <v>0.67147435897435892</v>
      </c>
      <c r="H46">
        <v>8.8000000000000007</v>
      </c>
      <c r="I46">
        <v>2053334</v>
      </c>
      <c r="J46">
        <v>78</v>
      </c>
      <c r="K46">
        <v>93</v>
      </c>
      <c r="L46" t="s">
        <v>27</v>
      </c>
      <c r="M46" t="s">
        <v>24</v>
      </c>
      <c r="O46" s="3" t="s">
        <v>38</v>
      </c>
      <c r="P46" s="6">
        <v>12.685714285714287</v>
      </c>
      <c r="Q46" s="6">
        <v>12.588888888888889</v>
      </c>
      <c r="R46" s="7">
        <v>12.631249999999998</v>
      </c>
      <c r="T46" s="4" t="s">
        <v>13</v>
      </c>
      <c r="U46" s="6">
        <v>83.142857142857139</v>
      </c>
    </row>
    <row r="47" spans="1:21" x14ac:dyDescent="0.25">
      <c r="A47" t="s">
        <v>12</v>
      </c>
      <c r="B47" t="s">
        <v>13</v>
      </c>
      <c r="C47">
        <v>2022</v>
      </c>
      <c r="D47" t="s">
        <v>34</v>
      </c>
      <c r="E47">
        <v>542</v>
      </c>
      <c r="F47">
        <v>173</v>
      </c>
      <c r="G47" s="10">
        <f t="shared" si="0"/>
        <v>0.31918819188191883</v>
      </c>
      <c r="H47">
        <v>15</v>
      </c>
      <c r="I47">
        <v>1901077</v>
      </c>
      <c r="J47">
        <v>175</v>
      </c>
      <c r="K47">
        <v>85</v>
      </c>
      <c r="L47" t="s">
        <v>23</v>
      </c>
      <c r="M47" t="s">
        <v>37</v>
      </c>
      <c r="O47" s="3" t="s">
        <v>40</v>
      </c>
      <c r="P47" s="6">
        <v>9.86</v>
      </c>
      <c r="Q47" s="6">
        <v>14.5</v>
      </c>
      <c r="R47" s="7">
        <v>12.179999999999998</v>
      </c>
      <c r="T47" s="3" t="s">
        <v>42</v>
      </c>
      <c r="U47" s="6">
        <v>79.837500000000006</v>
      </c>
    </row>
    <row r="48" spans="1:21" x14ac:dyDescent="0.25">
      <c r="A48" t="s">
        <v>12</v>
      </c>
      <c r="B48" t="s">
        <v>26</v>
      </c>
      <c r="C48">
        <v>2021</v>
      </c>
      <c r="D48" t="s">
        <v>32</v>
      </c>
      <c r="E48">
        <v>676</v>
      </c>
      <c r="F48">
        <v>676</v>
      </c>
      <c r="G48" s="10">
        <f t="shared" si="0"/>
        <v>1</v>
      </c>
      <c r="H48">
        <v>12.7</v>
      </c>
      <c r="I48">
        <v>1405511</v>
      </c>
      <c r="J48">
        <v>146</v>
      </c>
      <c r="K48">
        <v>69</v>
      </c>
      <c r="L48" t="s">
        <v>15</v>
      </c>
      <c r="M48" t="s">
        <v>24</v>
      </c>
      <c r="O48" s="3" t="s">
        <v>17</v>
      </c>
      <c r="P48" s="6">
        <v>10.68</v>
      </c>
      <c r="Q48" s="6">
        <v>13.466666666666669</v>
      </c>
      <c r="R48" s="7">
        <v>11.323076923076922</v>
      </c>
    </row>
    <row r="49" spans="1:21" x14ac:dyDescent="0.25">
      <c r="A49" t="s">
        <v>12</v>
      </c>
      <c r="B49" t="s">
        <v>39</v>
      </c>
      <c r="C49">
        <v>2023</v>
      </c>
      <c r="D49" t="s">
        <v>32</v>
      </c>
      <c r="E49">
        <v>114</v>
      </c>
      <c r="F49">
        <v>114</v>
      </c>
      <c r="G49" s="10">
        <f t="shared" si="0"/>
        <v>1</v>
      </c>
      <c r="H49">
        <v>12.2</v>
      </c>
      <c r="I49">
        <v>1558371</v>
      </c>
      <c r="J49">
        <v>167</v>
      </c>
      <c r="K49">
        <v>86</v>
      </c>
      <c r="L49" t="s">
        <v>15</v>
      </c>
      <c r="M49" t="s">
        <v>16</v>
      </c>
      <c r="O49" s="3" t="s">
        <v>21</v>
      </c>
      <c r="P49" s="6">
        <v>8.7555555555555564</v>
      </c>
      <c r="Q49" s="6">
        <v>8.7375000000000007</v>
      </c>
      <c r="R49" s="7">
        <v>8.7470588235294109</v>
      </c>
      <c r="T49" s="2" t="s">
        <v>41</v>
      </c>
      <c r="U49" t="s">
        <v>48</v>
      </c>
    </row>
    <row r="50" spans="1:21" x14ac:dyDescent="0.25">
      <c r="A50" t="s">
        <v>12</v>
      </c>
      <c r="B50" t="s">
        <v>21</v>
      </c>
      <c r="C50">
        <v>2022</v>
      </c>
      <c r="D50" t="s">
        <v>18</v>
      </c>
      <c r="E50">
        <v>567</v>
      </c>
      <c r="F50">
        <v>303</v>
      </c>
      <c r="G50" s="10">
        <f t="shared" si="0"/>
        <v>0.53439153439153442</v>
      </c>
      <c r="H50">
        <v>4.2</v>
      </c>
      <c r="I50">
        <v>1001580</v>
      </c>
      <c r="J50">
        <v>179</v>
      </c>
      <c r="K50">
        <v>83</v>
      </c>
      <c r="L50" t="s">
        <v>19</v>
      </c>
      <c r="M50" t="s">
        <v>37</v>
      </c>
      <c r="O50" s="3" t="s">
        <v>33</v>
      </c>
      <c r="P50" s="6">
        <v>12.725000000000001</v>
      </c>
      <c r="Q50" s="6">
        <v>10.066666666666666</v>
      </c>
      <c r="R50" s="7">
        <v>11.585714285714287</v>
      </c>
      <c r="T50" s="3" t="s">
        <v>25</v>
      </c>
      <c r="U50" s="6">
        <v>80.885714285714286</v>
      </c>
    </row>
    <row r="51" spans="1:21" x14ac:dyDescent="0.25">
      <c r="A51" t="s">
        <v>12</v>
      </c>
      <c r="B51" t="s">
        <v>21</v>
      </c>
      <c r="C51">
        <v>2023</v>
      </c>
      <c r="D51" t="s">
        <v>32</v>
      </c>
      <c r="E51">
        <v>106</v>
      </c>
      <c r="F51">
        <v>106</v>
      </c>
      <c r="G51" s="10">
        <f t="shared" si="0"/>
        <v>1</v>
      </c>
      <c r="H51">
        <v>16.100000000000001</v>
      </c>
      <c r="I51">
        <v>1962609</v>
      </c>
      <c r="J51">
        <v>181</v>
      </c>
      <c r="K51">
        <v>86</v>
      </c>
      <c r="L51" t="s">
        <v>23</v>
      </c>
      <c r="M51" t="s">
        <v>16</v>
      </c>
      <c r="O51" s="3" t="s">
        <v>26</v>
      </c>
      <c r="P51" s="6">
        <v>11.274999999999999</v>
      </c>
      <c r="Q51" s="6">
        <v>7.9285714285714288</v>
      </c>
      <c r="R51" s="7">
        <v>9.7133333333333329</v>
      </c>
      <c r="T51" s="4" t="s">
        <v>35</v>
      </c>
      <c r="U51" s="6">
        <v>82.666666666666671</v>
      </c>
    </row>
    <row r="52" spans="1:21" x14ac:dyDescent="0.25">
      <c r="A52" t="s">
        <v>25</v>
      </c>
      <c r="B52" t="s">
        <v>36</v>
      </c>
      <c r="C52">
        <v>2018</v>
      </c>
      <c r="D52" t="s">
        <v>18</v>
      </c>
      <c r="E52">
        <v>284</v>
      </c>
      <c r="F52">
        <v>284</v>
      </c>
      <c r="G52" s="10">
        <f t="shared" si="0"/>
        <v>1</v>
      </c>
      <c r="H52">
        <v>8.1999999999999993</v>
      </c>
      <c r="I52">
        <v>1146606</v>
      </c>
      <c r="J52">
        <v>81</v>
      </c>
      <c r="K52">
        <v>97</v>
      </c>
      <c r="L52" t="s">
        <v>27</v>
      </c>
      <c r="M52" t="s">
        <v>20</v>
      </c>
      <c r="O52" s="3" t="s">
        <v>31</v>
      </c>
      <c r="P52" s="6">
        <v>9.9500000000000011</v>
      </c>
      <c r="Q52" s="6">
        <v>11.614285714285716</v>
      </c>
      <c r="R52" s="7">
        <v>10.726666666666667</v>
      </c>
      <c r="T52" s="4" t="s">
        <v>38</v>
      </c>
      <c r="U52" s="6">
        <v>79</v>
      </c>
    </row>
    <row r="53" spans="1:21" x14ac:dyDescent="0.25">
      <c r="A53" t="s">
        <v>12</v>
      </c>
      <c r="B53" t="s">
        <v>31</v>
      </c>
      <c r="C53">
        <v>2020</v>
      </c>
      <c r="D53" t="s">
        <v>34</v>
      </c>
      <c r="E53">
        <v>798</v>
      </c>
      <c r="F53">
        <v>702</v>
      </c>
      <c r="G53" s="10">
        <f t="shared" si="0"/>
        <v>0.87969924812030076</v>
      </c>
      <c r="H53">
        <v>3.1</v>
      </c>
      <c r="I53">
        <v>1730929</v>
      </c>
      <c r="J53">
        <v>123</v>
      </c>
      <c r="K53">
        <v>71</v>
      </c>
      <c r="L53" t="s">
        <v>19</v>
      </c>
      <c r="M53" t="s">
        <v>24</v>
      </c>
      <c r="O53" s="3" t="s">
        <v>39</v>
      </c>
      <c r="P53" s="6">
        <v>13.483333333333334</v>
      </c>
      <c r="Q53" s="6">
        <v>9.4500000000000011</v>
      </c>
      <c r="R53" s="7">
        <v>11.870000000000001</v>
      </c>
      <c r="T53" s="4" t="s">
        <v>40</v>
      </c>
      <c r="U53" s="6">
        <v>77.2</v>
      </c>
    </row>
    <row r="54" spans="1:21" x14ac:dyDescent="0.25">
      <c r="A54" t="s">
        <v>25</v>
      </c>
      <c r="B54" t="s">
        <v>26</v>
      </c>
      <c r="C54">
        <v>2024</v>
      </c>
      <c r="D54" t="s">
        <v>32</v>
      </c>
      <c r="E54">
        <v>869</v>
      </c>
      <c r="F54">
        <v>466</v>
      </c>
      <c r="G54" s="10">
        <f t="shared" si="0"/>
        <v>0.53624856156501721</v>
      </c>
      <c r="H54">
        <v>11.5</v>
      </c>
      <c r="I54">
        <v>1511149</v>
      </c>
      <c r="J54">
        <v>143</v>
      </c>
      <c r="K54">
        <v>62</v>
      </c>
      <c r="L54" t="s">
        <v>15</v>
      </c>
      <c r="M54" t="s">
        <v>30</v>
      </c>
      <c r="O54" s="3" t="s">
        <v>28</v>
      </c>
      <c r="P54" s="6">
        <v>13.328571428571427</v>
      </c>
      <c r="Q54" s="6">
        <v>10.757142857142858</v>
      </c>
      <c r="R54" s="7">
        <v>12.042857142857143</v>
      </c>
      <c r="T54" s="4" t="s">
        <v>17</v>
      </c>
      <c r="U54" s="6">
        <v>80.666666666666671</v>
      </c>
    </row>
    <row r="55" spans="1:21" x14ac:dyDescent="0.25">
      <c r="A55" t="s">
        <v>12</v>
      </c>
      <c r="B55" t="s">
        <v>40</v>
      </c>
      <c r="C55">
        <v>2022</v>
      </c>
      <c r="D55" t="s">
        <v>18</v>
      </c>
      <c r="E55">
        <v>822</v>
      </c>
      <c r="F55">
        <v>200</v>
      </c>
      <c r="G55" s="10">
        <f t="shared" si="0"/>
        <v>0.24330900243309003</v>
      </c>
      <c r="H55">
        <v>5.2</v>
      </c>
      <c r="I55">
        <v>1814415</v>
      </c>
      <c r="J55">
        <v>38</v>
      </c>
      <c r="K55">
        <v>82</v>
      </c>
      <c r="L55" t="s">
        <v>27</v>
      </c>
      <c r="M55" t="s">
        <v>30</v>
      </c>
      <c r="O55" s="3" t="s">
        <v>36</v>
      </c>
      <c r="P55" s="6">
        <v>12.542857142857144</v>
      </c>
      <c r="Q55" s="6">
        <v>9.5125000000000011</v>
      </c>
      <c r="R55" s="7">
        <v>10.926666666666666</v>
      </c>
      <c r="T55" s="4" t="s">
        <v>21</v>
      </c>
      <c r="U55" s="6">
        <v>86.375</v>
      </c>
    </row>
    <row r="56" spans="1:21" x14ac:dyDescent="0.25">
      <c r="A56" t="s">
        <v>12</v>
      </c>
      <c r="B56" t="s">
        <v>26</v>
      </c>
      <c r="C56">
        <v>2018</v>
      </c>
      <c r="D56" t="s">
        <v>12</v>
      </c>
      <c r="E56">
        <v>812</v>
      </c>
      <c r="F56">
        <v>781</v>
      </c>
      <c r="G56" s="10">
        <f t="shared" si="0"/>
        <v>0.96182266009852213</v>
      </c>
      <c r="H56">
        <v>19.3</v>
      </c>
      <c r="I56">
        <v>2472849</v>
      </c>
      <c r="J56">
        <v>166</v>
      </c>
      <c r="K56">
        <v>81</v>
      </c>
      <c r="L56" t="s">
        <v>23</v>
      </c>
      <c r="M56" t="s">
        <v>30</v>
      </c>
      <c r="O56" s="3" t="s">
        <v>13</v>
      </c>
      <c r="P56" s="6">
        <v>12.785714285714286</v>
      </c>
      <c r="Q56" s="6">
        <v>13.233333333333334</v>
      </c>
      <c r="R56" s="7">
        <v>12.919999999999998</v>
      </c>
      <c r="T56" s="4" t="s">
        <v>33</v>
      </c>
      <c r="U56" s="6">
        <v>96.666666666666671</v>
      </c>
    </row>
    <row r="57" spans="1:21" x14ac:dyDescent="0.25">
      <c r="A57" t="s">
        <v>12</v>
      </c>
      <c r="B57" t="s">
        <v>28</v>
      </c>
      <c r="C57">
        <v>2023</v>
      </c>
      <c r="D57" t="s">
        <v>14</v>
      </c>
      <c r="E57">
        <v>966</v>
      </c>
      <c r="F57">
        <v>369</v>
      </c>
      <c r="G57" s="10">
        <f t="shared" si="0"/>
        <v>0.38198757763975155</v>
      </c>
      <c r="H57">
        <v>19.399999999999999</v>
      </c>
      <c r="I57">
        <v>810382</v>
      </c>
      <c r="J57">
        <v>94</v>
      </c>
      <c r="K57">
        <v>70</v>
      </c>
      <c r="L57" t="s">
        <v>23</v>
      </c>
      <c r="M57" t="s">
        <v>30</v>
      </c>
      <c r="O57" s="3" t="s">
        <v>42</v>
      </c>
      <c r="P57" s="6">
        <v>11.553749999999999</v>
      </c>
      <c r="Q57" s="6">
        <v>10.555714285714281</v>
      </c>
      <c r="R57" s="7">
        <v>11.088000000000001</v>
      </c>
      <c r="T57" s="4" t="s">
        <v>26</v>
      </c>
      <c r="U57" s="6">
        <v>74.857142857142861</v>
      </c>
    </row>
    <row r="58" spans="1:21" x14ac:dyDescent="0.25">
      <c r="A58" t="s">
        <v>12</v>
      </c>
      <c r="B58" t="s">
        <v>36</v>
      </c>
      <c r="C58">
        <v>2020</v>
      </c>
      <c r="D58" t="s">
        <v>14</v>
      </c>
      <c r="E58">
        <v>177</v>
      </c>
      <c r="F58">
        <v>81</v>
      </c>
      <c r="G58" s="10">
        <f t="shared" si="0"/>
        <v>0.4576271186440678</v>
      </c>
      <c r="H58">
        <v>9</v>
      </c>
      <c r="I58">
        <v>1814883</v>
      </c>
      <c r="J58">
        <v>168</v>
      </c>
      <c r="K58">
        <v>88</v>
      </c>
      <c r="L58" t="s">
        <v>27</v>
      </c>
      <c r="M58" t="s">
        <v>16</v>
      </c>
      <c r="T58" s="4" t="s">
        <v>31</v>
      </c>
      <c r="U58" s="6">
        <v>71.428571428571431</v>
      </c>
    </row>
    <row r="59" spans="1:21" x14ac:dyDescent="0.25">
      <c r="A59" t="s">
        <v>25</v>
      </c>
      <c r="B59" t="s">
        <v>13</v>
      </c>
      <c r="C59">
        <v>2021</v>
      </c>
      <c r="D59" t="s">
        <v>32</v>
      </c>
      <c r="E59">
        <v>551</v>
      </c>
      <c r="F59">
        <v>551</v>
      </c>
      <c r="G59" s="10">
        <f t="shared" si="0"/>
        <v>1</v>
      </c>
      <c r="H59">
        <v>19.600000000000001</v>
      </c>
      <c r="I59">
        <v>1280791</v>
      </c>
      <c r="J59">
        <v>31</v>
      </c>
      <c r="K59">
        <v>99</v>
      </c>
      <c r="L59" t="s">
        <v>23</v>
      </c>
      <c r="M59" t="s">
        <v>37</v>
      </c>
      <c r="T59" s="4" t="s">
        <v>39</v>
      </c>
      <c r="U59" s="6">
        <v>83.75</v>
      </c>
    </row>
    <row r="60" spans="1:21" x14ac:dyDescent="0.25">
      <c r="A60" t="s">
        <v>25</v>
      </c>
      <c r="B60" t="s">
        <v>31</v>
      </c>
      <c r="C60">
        <v>2019</v>
      </c>
      <c r="D60" t="s">
        <v>22</v>
      </c>
      <c r="E60">
        <v>844</v>
      </c>
      <c r="F60">
        <v>655</v>
      </c>
      <c r="G60" s="10">
        <f t="shared" si="0"/>
        <v>0.77606635071090047</v>
      </c>
      <c r="H60">
        <v>19.899999999999999</v>
      </c>
      <c r="I60">
        <v>731974</v>
      </c>
      <c r="J60">
        <v>53</v>
      </c>
      <c r="K60">
        <v>63</v>
      </c>
      <c r="L60" t="s">
        <v>23</v>
      </c>
      <c r="M60" t="s">
        <v>30</v>
      </c>
      <c r="T60" s="4" t="s">
        <v>28</v>
      </c>
      <c r="U60" s="6">
        <v>74.142857142857139</v>
      </c>
    </row>
    <row r="61" spans="1:21" x14ac:dyDescent="0.25">
      <c r="A61" t="s">
        <v>25</v>
      </c>
      <c r="B61" t="s">
        <v>40</v>
      </c>
      <c r="C61">
        <v>2020</v>
      </c>
      <c r="D61" t="s">
        <v>29</v>
      </c>
      <c r="E61">
        <v>964</v>
      </c>
      <c r="F61">
        <v>759</v>
      </c>
      <c r="G61" s="10">
        <f t="shared" si="0"/>
        <v>0.78734439834024894</v>
      </c>
      <c r="H61">
        <v>3</v>
      </c>
      <c r="I61">
        <v>1891357</v>
      </c>
      <c r="J61">
        <v>79</v>
      </c>
      <c r="K61">
        <v>76</v>
      </c>
      <c r="L61" t="s">
        <v>19</v>
      </c>
      <c r="M61" t="s">
        <v>30</v>
      </c>
      <c r="T61" s="4" t="s">
        <v>36</v>
      </c>
      <c r="U61" s="6">
        <v>88.875</v>
      </c>
    </row>
    <row r="62" spans="1:21" x14ac:dyDescent="0.25">
      <c r="A62" t="s">
        <v>25</v>
      </c>
      <c r="B62" t="s">
        <v>36</v>
      </c>
      <c r="C62">
        <v>2021</v>
      </c>
      <c r="D62" t="s">
        <v>22</v>
      </c>
      <c r="E62">
        <v>799</v>
      </c>
      <c r="F62">
        <v>608</v>
      </c>
      <c r="G62" s="10">
        <f t="shared" si="0"/>
        <v>0.76095118898623282</v>
      </c>
      <c r="H62">
        <v>9.1999999999999993</v>
      </c>
      <c r="I62">
        <v>1970495</v>
      </c>
      <c r="J62">
        <v>199</v>
      </c>
      <c r="K62">
        <v>87</v>
      </c>
      <c r="L62" t="s">
        <v>27</v>
      </c>
      <c r="M62" t="s">
        <v>24</v>
      </c>
      <c r="T62" s="4" t="s">
        <v>13</v>
      </c>
      <c r="U62" s="6">
        <v>85.666666666666671</v>
      </c>
    </row>
    <row r="63" spans="1:21" x14ac:dyDescent="0.25">
      <c r="A63" t="s">
        <v>12</v>
      </c>
      <c r="B63" t="s">
        <v>31</v>
      </c>
      <c r="C63">
        <v>2018</v>
      </c>
      <c r="D63" t="s">
        <v>12</v>
      </c>
      <c r="E63">
        <v>550</v>
      </c>
      <c r="F63">
        <v>550</v>
      </c>
      <c r="G63" s="10">
        <f t="shared" si="0"/>
        <v>1</v>
      </c>
      <c r="H63">
        <v>7.2</v>
      </c>
      <c r="I63">
        <v>853184</v>
      </c>
      <c r="J63">
        <v>159</v>
      </c>
      <c r="K63">
        <v>67</v>
      </c>
      <c r="L63" t="s">
        <v>27</v>
      </c>
      <c r="M63" t="s">
        <v>37</v>
      </c>
      <c r="T63" s="3" t="s">
        <v>42</v>
      </c>
      <c r="U63" s="6">
        <v>80.885714285714286</v>
      </c>
    </row>
    <row r="64" spans="1:21" x14ac:dyDescent="0.25">
      <c r="A64" t="s">
        <v>25</v>
      </c>
      <c r="B64" t="s">
        <v>35</v>
      </c>
      <c r="C64">
        <v>2020</v>
      </c>
      <c r="D64" t="s">
        <v>14</v>
      </c>
      <c r="E64">
        <v>355</v>
      </c>
      <c r="F64">
        <v>221</v>
      </c>
      <c r="G64" s="10">
        <f t="shared" si="0"/>
        <v>0.62253521126760558</v>
      </c>
      <c r="H64">
        <v>10</v>
      </c>
      <c r="I64">
        <v>2213736</v>
      </c>
      <c r="J64">
        <v>168</v>
      </c>
      <c r="K64">
        <v>70</v>
      </c>
      <c r="L64" t="s">
        <v>15</v>
      </c>
      <c r="M64" t="s">
        <v>20</v>
      </c>
    </row>
    <row r="65" spans="1:13" x14ac:dyDescent="0.25">
      <c r="A65" t="s">
        <v>25</v>
      </c>
      <c r="B65" t="s">
        <v>33</v>
      </c>
      <c r="C65">
        <v>2024</v>
      </c>
      <c r="D65" t="s">
        <v>18</v>
      </c>
      <c r="E65">
        <v>961</v>
      </c>
      <c r="F65">
        <v>265</v>
      </c>
      <c r="G65" s="10">
        <f t="shared" si="0"/>
        <v>0.27575442247658688</v>
      </c>
      <c r="H65">
        <v>6</v>
      </c>
      <c r="I65">
        <v>2353760</v>
      </c>
      <c r="J65">
        <v>90</v>
      </c>
      <c r="K65">
        <v>94</v>
      </c>
      <c r="L65" t="s">
        <v>27</v>
      </c>
      <c r="M65" t="s">
        <v>30</v>
      </c>
    </row>
    <row r="66" spans="1:13" x14ac:dyDescent="0.25">
      <c r="A66" t="s">
        <v>12</v>
      </c>
      <c r="B66" t="s">
        <v>35</v>
      </c>
      <c r="C66">
        <v>2022</v>
      </c>
      <c r="D66" t="s">
        <v>12</v>
      </c>
      <c r="E66">
        <v>216</v>
      </c>
      <c r="F66">
        <v>216</v>
      </c>
      <c r="G66" s="10">
        <f t="shared" si="0"/>
        <v>1</v>
      </c>
      <c r="H66">
        <v>16.2</v>
      </c>
      <c r="I66">
        <v>560724</v>
      </c>
      <c r="J66">
        <v>165</v>
      </c>
      <c r="K66">
        <v>72</v>
      </c>
      <c r="L66" t="s">
        <v>23</v>
      </c>
      <c r="M66" t="s">
        <v>20</v>
      </c>
    </row>
    <row r="67" spans="1:13" x14ac:dyDescent="0.25">
      <c r="A67" t="s">
        <v>12</v>
      </c>
      <c r="B67" t="s">
        <v>28</v>
      </c>
      <c r="C67">
        <v>2022</v>
      </c>
      <c r="D67" t="s">
        <v>34</v>
      </c>
      <c r="E67">
        <v>194</v>
      </c>
      <c r="F67">
        <v>194</v>
      </c>
      <c r="G67" s="10">
        <f t="shared" ref="G67:G130" si="1" xml:space="preserve"> AVERAGE(F67/E67)</f>
        <v>1</v>
      </c>
      <c r="H67">
        <v>13</v>
      </c>
      <c r="I67">
        <v>1176212</v>
      </c>
      <c r="J67">
        <v>177</v>
      </c>
      <c r="K67">
        <v>99</v>
      </c>
      <c r="L67" t="s">
        <v>15</v>
      </c>
      <c r="M67" t="s">
        <v>16</v>
      </c>
    </row>
    <row r="68" spans="1:13" x14ac:dyDescent="0.25">
      <c r="A68" t="s">
        <v>12</v>
      </c>
      <c r="B68" t="s">
        <v>39</v>
      </c>
      <c r="C68">
        <v>2019</v>
      </c>
      <c r="D68" t="s">
        <v>32</v>
      </c>
      <c r="E68">
        <v>673</v>
      </c>
      <c r="F68">
        <v>72</v>
      </c>
      <c r="G68" s="10">
        <f t="shared" si="1"/>
        <v>0.10698365527488855</v>
      </c>
      <c r="H68">
        <v>19.899999999999999</v>
      </c>
      <c r="I68">
        <v>2121182</v>
      </c>
      <c r="J68">
        <v>41</v>
      </c>
      <c r="K68">
        <v>70</v>
      </c>
      <c r="L68" t="s">
        <v>23</v>
      </c>
      <c r="M68" t="s">
        <v>24</v>
      </c>
    </row>
    <row r="69" spans="1:13" x14ac:dyDescent="0.25">
      <c r="A69" t="s">
        <v>25</v>
      </c>
      <c r="B69" t="s">
        <v>31</v>
      </c>
      <c r="C69">
        <v>2020</v>
      </c>
      <c r="D69" t="s">
        <v>18</v>
      </c>
      <c r="E69">
        <v>297</v>
      </c>
      <c r="F69">
        <v>297</v>
      </c>
      <c r="G69" s="10">
        <f t="shared" si="1"/>
        <v>1</v>
      </c>
      <c r="H69">
        <v>5</v>
      </c>
      <c r="I69">
        <v>1665783</v>
      </c>
      <c r="J69">
        <v>102</v>
      </c>
      <c r="K69">
        <v>80</v>
      </c>
      <c r="L69" t="s">
        <v>27</v>
      </c>
      <c r="M69" t="s">
        <v>20</v>
      </c>
    </row>
    <row r="70" spans="1:13" x14ac:dyDescent="0.25">
      <c r="A70" t="s">
        <v>12</v>
      </c>
      <c r="B70" t="s">
        <v>36</v>
      </c>
      <c r="C70">
        <v>2022</v>
      </c>
      <c r="D70" t="s">
        <v>18</v>
      </c>
      <c r="E70">
        <v>709</v>
      </c>
      <c r="F70">
        <v>371</v>
      </c>
      <c r="G70" s="10">
        <f t="shared" si="1"/>
        <v>0.52327221438645977</v>
      </c>
      <c r="H70">
        <v>9.3000000000000007</v>
      </c>
      <c r="I70">
        <v>1679416</v>
      </c>
      <c r="J70">
        <v>46</v>
      </c>
      <c r="K70">
        <v>99</v>
      </c>
      <c r="L70" t="s">
        <v>27</v>
      </c>
      <c r="M70" t="s">
        <v>24</v>
      </c>
    </row>
    <row r="71" spans="1:13" x14ac:dyDescent="0.25">
      <c r="A71" t="s">
        <v>25</v>
      </c>
      <c r="B71" t="s">
        <v>39</v>
      </c>
      <c r="C71">
        <v>2018</v>
      </c>
      <c r="D71" t="s">
        <v>34</v>
      </c>
      <c r="E71">
        <v>262</v>
      </c>
      <c r="F71">
        <v>262</v>
      </c>
      <c r="G71" s="10">
        <f t="shared" si="1"/>
        <v>1</v>
      </c>
      <c r="H71">
        <v>6.9</v>
      </c>
      <c r="I71">
        <v>1498822</v>
      </c>
      <c r="J71">
        <v>113</v>
      </c>
      <c r="K71">
        <v>97</v>
      </c>
      <c r="L71" t="s">
        <v>27</v>
      </c>
      <c r="M71" t="s">
        <v>20</v>
      </c>
    </row>
    <row r="72" spans="1:13" x14ac:dyDescent="0.25">
      <c r="A72" t="s">
        <v>12</v>
      </c>
      <c r="B72" t="s">
        <v>13</v>
      </c>
      <c r="C72">
        <v>2018</v>
      </c>
      <c r="D72" t="s">
        <v>34</v>
      </c>
      <c r="E72">
        <v>294</v>
      </c>
      <c r="F72">
        <v>294</v>
      </c>
      <c r="G72" s="10">
        <f t="shared" si="1"/>
        <v>1</v>
      </c>
      <c r="H72">
        <v>9.4</v>
      </c>
      <c r="I72">
        <v>801207</v>
      </c>
      <c r="J72">
        <v>189</v>
      </c>
      <c r="K72">
        <v>76</v>
      </c>
      <c r="L72" t="s">
        <v>27</v>
      </c>
      <c r="M72" t="s">
        <v>20</v>
      </c>
    </row>
    <row r="73" spans="1:13" x14ac:dyDescent="0.25">
      <c r="A73" t="s">
        <v>12</v>
      </c>
      <c r="B73" t="s">
        <v>40</v>
      </c>
      <c r="C73">
        <v>2023</v>
      </c>
      <c r="D73" t="s">
        <v>29</v>
      </c>
      <c r="E73">
        <v>141</v>
      </c>
      <c r="F73">
        <v>141</v>
      </c>
      <c r="G73" s="10">
        <f t="shared" si="1"/>
        <v>1</v>
      </c>
      <c r="H73">
        <v>13.5</v>
      </c>
      <c r="I73">
        <v>2485898</v>
      </c>
      <c r="J73">
        <v>63</v>
      </c>
      <c r="K73">
        <v>94</v>
      </c>
      <c r="L73" t="s">
        <v>15</v>
      </c>
      <c r="M73" t="s">
        <v>16</v>
      </c>
    </row>
    <row r="74" spans="1:13" x14ac:dyDescent="0.25">
      <c r="A74" t="s">
        <v>12</v>
      </c>
      <c r="B74" t="s">
        <v>28</v>
      </c>
      <c r="C74">
        <v>2022</v>
      </c>
      <c r="D74" t="s">
        <v>14</v>
      </c>
      <c r="E74">
        <v>124</v>
      </c>
      <c r="F74">
        <v>79</v>
      </c>
      <c r="G74" s="10">
        <f t="shared" si="1"/>
        <v>0.63709677419354838</v>
      </c>
      <c r="H74">
        <v>19.899999999999999</v>
      </c>
      <c r="I74">
        <v>772022</v>
      </c>
      <c r="J74">
        <v>198</v>
      </c>
      <c r="K74">
        <v>98</v>
      </c>
      <c r="L74" t="s">
        <v>23</v>
      </c>
      <c r="M74" t="s">
        <v>16</v>
      </c>
    </row>
    <row r="75" spans="1:13" x14ac:dyDescent="0.25">
      <c r="A75" t="s">
        <v>25</v>
      </c>
      <c r="B75" t="s">
        <v>21</v>
      </c>
      <c r="C75">
        <v>2021</v>
      </c>
      <c r="D75" t="s">
        <v>32</v>
      </c>
      <c r="E75">
        <v>407</v>
      </c>
      <c r="F75">
        <v>407</v>
      </c>
      <c r="G75" s="10">
        <f t="shared" si="1"/>
        <v>1</v>
      </c>
      <c r="H75">
        <v>8.8000000000000007</v>
      </c>
      <c r="I75">
        <v>2024904</v>
      </c>
      <c r="J75">
        <v>176</v>
      </c>
      <c r="K75">
        <v>81</v>
      </c>
      <c r="L75" t="s">
        <v>27</v>
      </c>
      <c r="M75" t="s">
        <v>37</v>
      </c>
    </row>
    <row r="76" spans="1:13" x14ac:dyDescent="0.25">
      <c r="A76" t="s">
        <v>25</v>
      </c>
      <c r="B76" t="s">
        <v>28</v>
      </c>
      <c r="C76">
        <v>2018</v>
      </c>
      <c r="D76" t="s">
        <v>34</v>
      </c>
      <c r="E76">
        <v>939</v>
      </c>
      <c r="F76">
        <v>751</v>
      </c>
      <c r="G76" s="10">
        <f t="shared" si="1"/>
        <v>0.79978700745473907</v>
      </c>
      <c r="H76">
        <v>9.1</v>
      </c>
      <c r="I76">
        <v>2395283</v>
      </c>
      <c r="J76">
        <v>98</v>
      </c>
      <c r="K76">
        <v>80</v>
      </c>
      <c r="L76" t="s">
        <v>27</v>
      </c>
      <c r="M76" t="s">
        <v>30</v>
      </c>
    </row>
    <row r="77" spans="1:13" x14ac:dyDescent="0.25">
      <c r="A77" t="s">
        <v>12</v>
      </c>
      <c r="B77" t="s">
        <v>33</v>
      </c>
      <c r="C77">
        <v>2018</v>
      </c>
      <c r="D77" t="s">
        <v>32</v>
      </c>
      <c r="E77">
        <v>678</v>
      </c>
      <c r="F77">
        <v>430</v>
      </c>
      <c r="G77" s="10">
        <f t="shared" si="1"/>
        <v>0.63421828908554567</v>
      </c>
      <c r="H77">
        <v>11.5</v>
      </c>
      <c r="I77">
        <v>1230458</v>
      </c>
      <c r="J77">
        <v>120</v>
      </c>
      <c r="K77">
        <v>63</v>
      </c>
      <c r="L77" t="s">
        <v>15</v>
      </c>
      <c r="M77" t="s">
        <v>24</v>
      </c>
    </row>
    <row r="78" spans="1:13" x14ac:dyDescent="0.25">
      <c r="A78" t="s">
        <v>25</v>
      </c>
      <c r="B78" t="s">
        <v>26</v>
      </c>
      <c r="C78">
        <v>2023</v>
      </c>
      <c r="D78" t="s">
        <v>29</v>
      </c>
      <c r="E78">
        <v>989</v>
      </c>
      <c r="F78">
        <v>91</v>
      </c>
      <c r="G78" s="10">
        <f t="shared" si="1"/>
        <v>9.201213346814964E-2</v>
      </c>
      <c r="H78">
        <v>18.2</v>
      </c>
      <c r="I78">
        <v>2014177</v>
      </c>
      <c r="J78">
        <v>166</v>
      </c>
      <c r="K78">
        <v>92</v>
      </c>
      <c r="L78" t="s">
        <v>23</v>
      </c>
      <c r="M78" t="s">
        <v>30</v>
      </c>
    </row>
    <row r="79" spans="1:13" x14ac:dyDescent="0.25">
      <c r="A79" t="s">
        <v>25</v>
      </c>
      <c r="B79" t="s">
        <v>31</v>
      </c>
      <c r="C79">
        <v>2024</v>
      </c>
      <c r="D79" t="s">
        <v>32</v>
      </c>
      <c r="E79">
        <v>881</v>
      </c>
      <c r="F79">
        <v>325</v>
      </c>
      <c r="G79" s="10">
        <f t="shared" si="1"/>
        <v>0.3688989784335982</v>
      </c>
      <c r="H79">
        <v>11</v>
      </c>
      <c r="I79">
        <v>1102844</v>
      </c>
      <c r="J79">
        <v>92</v>
      </c>
      <c r="K79">
        <v>83</v>
      </c>
      <c r="L79" t="s">
        <v>15</v>
      </c>
      <c r="M79" t="s">
        <v>30</v>
      </c>
    </row>
    <row r="80" spans="1:13" x14ac:dyDescent="0.25">
      <c r="A80" t="s">
        <v>25</v>
      </c>
      <c r="B80" t="s">
        <v>17</v>
      </c>
      <c r="C80">
        <v>2021</v>
      </c>
      <c r="D80" t="s">
        <v>12</v>
      </c>
      <c r="E80">
        <v>113</v>
      </c>
      <c r="F80">
        <v>113</v>
      </c>
      <c r="G80" s="10">
        <f t="shared" si="1"/>
        <v>1</v>
      </c>
      <c r="H80">
        <v>9.1999999999999993</v>
      </c>
      <c r="I80">
        <v>1943470</v>
      </c>
      <c r="J80">
        <v>169</v>
      </c>
      <c r="K80">
        <v>93</v>
      </c>
      <c r="L80" t="s">
        <v>27</v>
      </c>
      <c r="M80" t="s">
        <v>16</v>
      </c>
    </row>
    <row r="81" spans="1:13" x14ac:dyDescent="0.25">
      <c r="A81" t="s">
        <v>25</v>
      </c>
      <c r="B81" t="s">
        <v>35</v>
      </c>
      <c r="C81">
        <v>2019</v>
      </c>
      <c r="D81" t="s">
        <v>32</v>
      </c>
      <c r="E81">
        <v>443</v>
      </c>
      <c r="F81">
        <v>443</v>
      </c>
      <c r="G81" s="10">
        <f t="shared" si="1"/>
        <v>1</v>
      </c>
      <c r="H81">
        <v>5.9</v>
      </c>
      <c r="I81">
        <v>1528422</v>
      </c>
      <c r="J81">
        <v>127</v>
      </c>
      <c r="K81">
        <v>62</v>
      </c>
      <c r="L81" t="s">
        <v>27</v>
      </c>
      <c r="M81" t="s">
        <v>37</v>
      </c>
    </row>
    <row r="82" spans="1:13" x14ac:dyDescent="0.25">
      <c r="A82" t="s">
        <v>12</v>
      </c>
      <c r="B82" t="s">
        <v>36</v>
      </c>
      <c r="C82">
        <v>2019</v>
      </c>
      <c r="D82" t="s">
        <v>34</v>
      </c>
      <c r="E82">
        <v>391</v>
      </c>
      <c r="F82">
        <v>328</v>
      </c>
      <c r="G82" s="10">
        <f t="shared" si="1"/>
        <v>0.83887468030690537</v>
      </c>
      <c r="H82">
        <v>7.3</v>
      </c>
      <c r="I82">
        <v>756601</v>
      </c>
      <c r="J82">
        <v>65</v>
      </c>
      <c r="K82">
        <v>92</v>
      </c>
      <c r="L82" t="s">
        <v>27</v>
      </c>
      <c r="M82" t="s">
        <v>20</v>
      </c>
    </row>
    <row r="83" spans="1:13" x14ac:dyDescent="0.25">
      <c r="A83" t="s">
        <v>12</v>
      </c>
      <c r="B83" t="s">
        <v>17</v>
      </c>
      <c r="C83">
        <v>2019</v>
      </c>
      <c r="D83" t="s">
        <v>12</v>
      </c>
      <c r="E83">
        <v>455</v>
      </c>
      <c r="F83">
        <v>455</v>
      </c>
      <c r="G83" s="10">
        <f t="shared" si="1"/>
        <v>1</v>
      </c>
      <c r="H83">
        <v>19.399999999999999</v>
      </c>
      <c r="I83">
        <v>1976097</v>
      </c>
      <c r="J83">
        <v>127</v>
      </c>
      <c r="K83">
        <v>97</v>
      </c>
      <c r="L83" t="s">
        <v>23</v>
      </c>
      <c r="M83" t="s">
        <v>37</v>
      </c>
    </row>
    <row r="84" spans="1:13" x14ac:dyDescent="0.25">
      <c r="A84" t="s">
        <v>12</v>
      </c>
      <c r="B84" t="s">
        <v>28</v>
      </c>
      <c r="C84">
        <v>2024</v>
      </c>
      <c r="D84" t="s">
        <v>12</v>
      </c>
      <c r="E84">
        <v>997</v>
      </c>
      <c r="F84">
        <v>358</v>
      </c>
      <c r="G84" s="10">
        <f t="shared" si="1"/>
        <v>0.35907723169508526</v>
      </c>
      <c r="H84">
        <v>6.1</v>
      </c>
      <c r="I84">
        <v>2376485</v>
      </c>
      <c r="J84">
        <v>192</v>
      </c>
      <c r="K84">
        <v>74</v>
      </c>
      <c r="L84" t="s">
        <v>27</v>
      </c>
      <c r="M84" t="s">
        <v>30</v>
      </c>
    </row>
    <row r="85" spans="1:13" x14ac:dyDescent="0.25">
      <c r="A85" t="s">
        <v>25</v>
      </c>
      <c r="B85" t="s">
        <v>21</v>
      </c>
      <c r="C85">
        <v>2019</v>
      </c>
      <c r="D85" t="s">
        <v>18</v>
      </c>
      <c r="E85">
        <v>189</v>
      </c>
      <c r="F85">
        <v>189</v>
      </c>
      <c r="G85" s="10">
        <f t="shared" si="1"/>
        <v>1</v>
      </c>
      <c r="H85">
        <v>5</v>
      </c>
      <c r="I85">
        <v>816666</v>
      </c>
      <c r="J85">
        <v>112</v>
      </c>
      <c r="K85">
        <v>86</v>
      </c>
      <c r="L85" t="s">
        <v>27</v>
      </c>
      <c r="M85" t="s">
        <v>16</v>
      </c>
    </row>
    <row r="86" spans="1:13" x14ac:dyDescent="0.25">
      <c r="A86" t="s">
        <v>25</v>
      </c>
      <c r="B86" t="s">
        <v>21</v>
      </c>
      <c r="C86">
        <v>2020</v>
      </c>
      <c r="D86" t="s">
        <v>12</v>
      </c>
      <c r="E86">
        <v>883</v>
      </c>
      <c r="F86">
        <v>158</v>
      </c>
      <c r="G86" s="10">
        <f t="shared" si="1"/>
        <v>0.17893544733861835</v>
      </c>
      <c r="H86">
        <v>7.5</v>
      </c>
      <c r="I86">
        <v>1683422</v>
      </c>
      <c r="J86">
        <v>127</v>
      </c>
      <c r="K86">
        <v>83</v>
      </c>
      <c r="L86" t="s">
        <v>27</v>
      </c>
      <c r="M86" t="s">
        <v>30</v>
      </c>
    </row>
    <row r="87" spans="1:13" x14ac:dyDescent="0.25">
      <c r="A87" t="s">
        <v>25</v>
      </c>
      <c r="B87" t="s">
        <v>35</v>
      </c>
      <c r="C87">
        <v>2022</v>
      </c>
      <c r="D87" t="s">
        <v>29</v>
      </c>
      <c r="E87">
        <v>202</v>
      </c>
      <c r="F87">
        <v>202</v>
      </c>
      <c r="G87" s="10">
        <f t="shared" si="1"/>
        <v>1</v>
      </c>
      <c r="H87">
        <v>4.0999999999999996</v>
      </c>
      <c r="I87">
        <v>817129</v>
      </c>
      <c r="J87">
        <v>45</v>
      </c>
      <c r="K87">
        <v>78</v>
      </c>
      <c r="L87" t="s">
        <v>19</v>
      </c>
      <c r="M87" t="s">
        <v>20</v>
      </c>
    </row>
    <row r="88" spans="1:13" x14ac:dyDescent="0.25">
      <c r="A88" t="s">
        <v>25</v>
      </c>
      <c r="B88" t="s">
        <v>28</v>
      </c>
      <c r="C88">
        <v>2019</v>
      </c>
      <c r="D88" t="s">
        <v>12</v>
      </c>
      <c r="E88">
        <v>401</v>
      </c>
      <c r="F88">
        <v>401</v>
      </c>
      <c r="G88" s="10">
        <f t="shared" si="1"/>
        <v>1</v>
      </c>
      <c r="H88">
        <v>4.0999999999999996</v>
      </c>
      <c r="I88">
        <v>1247068</v>
      </c>
      <c r="J88">
        <v>95</v>
      </c>
      <c r="K88">
        <v>75</v>
      </c>
      <c r="L88" t="s">
        <v>19</v>
      </c>
      <c r="M88" t="s">
        <v>37</v>
      </c>
    </row>
    <row r="89" spans="1:13" x14ac:dyDescent="0.25">
      <c r="A89" t="s">
        <v>25</v>
      </c>
      <c r="B89" t="s">
        <v>26</v>
      </c>
      <c r="C89">
        <v>2019</v>
      </c>
      <c r="D89" t="s">
        <v>22</v>
      </c>
      <c r="E89">
        <v>600</v>
      </c>
      <c r="F89">
        <v>227</v>
      </c>
      <c r="G89" s="10">
        <f t="shared" si="1"/>
        <v>0.37833333333333335</v>
      </c>
      <c r="H89">
        <v>3.1</v>
      </c>
      <c r="I89">
        <v>2362675</v>
      </c>
      <c r="J89">
        <v>169</v>
      </c>
      <c r="K89">
        <v>65</v>
      </c>
      <c r="L89" t="s">
        <v>19</v>
      </c>
      <c r="M89" t="s">
        <v>24</v>
      </c>
    </row>
    <row r="90" spans="1:13" x14ac:dyDescent="0.25">
      <c r="A90" t="s">
        <v>25</v>
      </c>
      <c r="B90" t="s">
        <v>40</v>
      </c>
      <c r="C90">
        <v>2019</v>
      </c>
      <c r="D90" t="s">
        <v>18</v>
      </c>
      <c r="E90">
        <v>123</v>
      </c>
      <c r="F90">
        <v>123</v>
      </c>
      <c r="G90" s="10">
        <f t="shared" si="1"/>
        <v>1</v>
      </c>
      <c r="H90">
        <v>18</v>
      </c>
      <c r="I90">
        <v>1089878</v>
      </c>
      <c r="J90">
        <v>170</v>
      </c>
      <c r="K90">
        <v>70</v>
      </c>
      <c r="L90" t="s">
        <v>23</v>
      </c>
      <c r="M90" t="s">
        <v>16</v>
      </c>
    </row>
    <row r="91" spans="1:13" x14ac:dyDescent="0.25">
      <c r="A91" t="s">
        <v>12</v>
      </c>
      <c r="B91" t="s">
        <v>28</v>
      </c>
      <c r="C91">
        <v>2021</v>
      </c>
      <c r="D91" t="s">
        <v>34</v>
      </c>
      <c r="E91">
        <v>526</v>
      </c>
      <c r="F91">
        <v>495</v>
      </c>
      <c r="G91" s="10">
        <f t="shared" si="1"/>
        <v>0.94106463878326996</v>
      </c>
      <c r="H91">
        <v>16</v>
      </c>
      <c r="I91">
        <v>1256584</v>
      </c>
      <c r="J91">
        <v>140</v>
      </c>
      <c r="K91">
        <v>78</v>
      </c>
      <c r="L91" t="s">
        <v>23</v>
      </c>
      <c r="M91" t="s">
        <v>37</v>
      </c>
    </row>
    <row r="92" spans="1:13" x14ac:dyDescent="0.25">
      <c r="A92" t="s">
        <v>25</v>
      </c>
      <c r="B92" t="s">
        <v>35</v>
      </c>
      <c r="C92">
        <v>2024</v>
      </c>
      <c r="D92" t="s">
        <v>22</v>
      </c>
      <c r="E92">
        <v>225</v>
      </c>
      <c r="F92">
        <v>225</v>
      </c>
      <c r="G92" s="10">
        <f t="shared" si="1"/>
        <v>1</v>
      </c>
      <c r="H92">
        <v>7.7</v>
      </c>
      <c r="I92">
        <v>582124</v>
      </c>
      <c r="J92">
        <v>186</v>
      </c>
      <c r="K92">
        <v>91</v>
      </c>
      <c r="L92" t="s">
        <v>27</v>
      </c>
      <c r="M92" t="s">
        <v>20</v>
      </c>
    </row>
    <row r="93" spans="1:13" x14ac:dyDescent="0.25">
      <c r="A93" t="s">
        <v>25</v>
      </c>
      <c r="B93" t="s">
        <v>28</v>
      </c>
      <c r="C93">
        <v>2024</v>
      </c>
      <c r="D93" t="s">
        <v>34</v>
      </c>
      <c r="E93">
        <v>429</v>
      </c>
      <c r="F93">
        <v>422</v>
      </c>
      <c r="G93" s="10">
        <f t="shared" si="1"/>
        <v>0.98368298368298368</v>
      </c>
      <c r="H93">
        <v>9.5</v>
      </c>
      <c r="I93">
        <v>537208</v>
      </c>
      <c r="J93">
        <v>92</v>
      </c>
      <c r="K93">
        <v>83</v>
      </c>
      <c r="L93" t="s">
        <v>27</v>
      </c>
      <c r="M93" t="s">
        <v>37</v>
      </c>
    </row>
    <row r="94" spans="1:13" x14ac:dyDescent="0.25">
      <c r="A94" t="s">
        <v>25</v>
      </c>
      <c r="B94" t="s">
        <v>38</v>
      </c>
      <c r="C94">
        <v>2021</v>
      </c>
      <c r="D94" t="s">
        <v>34</v>
      </c>
      <c r="E94">
        <v>131</v>
      </c>
      <c r="F94">
        <v>131</v>
      </c>
      <c r="G94" s="10">
        <f t="shared" si="1"/>
        <v>1</v>
      </c>
      <c r="H94">
        <v>5.6</v>
      </c>
      <c r="I94">
        <v>1617598</v>
      </c>
      <c r="J94">
        <v>137</v>
      </c>
      <c r="K94">
        <v>92</v>
      </c>
      <c r="L94" t="s">
        <v>27</v>
      </c>
      <c r="M94" t="s">
        <v>16</v>
      </c>
    </row>
    <row r="95" spans="1:13" x14ac:dyDescent="0.25">
      <c r="A95" t="s">
        <v>12</v>
      </c>
      <c r="B95" t="s">
        <v>21</v>
      </c>
      <c r="C95">
        <v>2018</v>
      </c>
      <c r="D95" t="s">
        <v>12</v>
      </c>
      <c r="E95">
        <v>503</v>
      </c>
      <c r="F95">
        <v>503</v>
      </c>
      <c r="G95" s="10">
        <f t="shared" si="1"/>
        <v>1</v>
      </c>
      <c r="H95">
        <v>4.5</v>
      </c>
      <c r="I95">
        <v>1684704</v>
      </c>
      <c r="J95">
        <v>54</v>
      </c>
      <c r="K95">
        <v>83</v>
      </c>
      <c r="L95" t="s">
        <v>19</v>
      </c>
      <c r="M95" t="s">
        <v>37</v>
      </c>
    </row>
    <row r="96" spans="1:13" x14ac:dyDescent="0.25">
      <c r="A96" t="s">
        <v>12</v>
      </c>
      <c r="B96" t="s">
        <v>36</v>
      </c>
      <c r="C96">
        <v>2018</v>
      </c>
      <c r="D96" t="s">
        <v>22</v>
      </c>
      <c r="E96">
        <v>191</v>
      </c>
      <c r="F96">
        <v>191</v>
      </c>
      <c r="G96" s="10">
        <f t="shared" si="1"/>
        <v>1</v>
      </c>
      <c r="H96">
        <v>13.9</v>
      </c>
      <c r="I96">
        <v>2056764</v>
      </c>
      <c r="J96">
        <v>153</v>
      </c>
      <c r="K96">
        <v>75</v>
      </c>
      <c r="L96" t="s">
        <v>15</v>
      </c>
      <c r="M96" t="s">
        <v>16</v>
      </c>
    </row>
    <row r="97" spans="1:13" x14ac:dyDescent="0.25">
      <c r="A97" t="s">
        <v>12</v>
      </c>
      <c r="B97" t="s">
        <v>21</v>
      </c>
      <c r="C97">
        <v>2023</v>
      </c>
      <c r="D97" t="s">
        <v>12</v>
      </c>
      <c r="E97">
        <v>229</v>
      </c>
      <c r="F97">
        <v>229</v>
      </c>
      <c r="G97" s="10">
        <f t="shared" si="1"/>
        <v>1</v>
      </c>
      <c r="H97">
        <v>5.9</v>
      </c>
      <c r="I97">
        <v>837328</v>
      </c>
      <c r="J97">
        <v>94</v>
      </c>
      <c r="K97">
        <v>62</v>
      </c>
      <c r="L97" t="s">
        <v>27</v>
      </c>
      <c r="M97" t="s">
        <v>20</v>
      </c>
    </row>
    <row r="98" spans="1:13" x14ac:dyDescent="0.25">
      <c r="A98" t="s">
        <v>12</v>
      </c>
      <c r="B98" t="s">
        <v>40</v>
      </c>
      <c r="C98">
        <v>2019</v>
      </c>
      <c r="D98" t="s">
        <v>14</v>
      </c>
      <c r="E98">
        <v>324</v>
      </c>
      <c r="F98">
        <v>324</v>
      </c>
      <c r="G98" s="10">
        <f t="shared" si="1"/>
        <v>1</v>
      </c>
      <c r="H98">
        <v>8.9</v>
      </c>
      <c r="I98">
        <v>511770</v>
      </c>
      <c r="J98">
        <v>125</v>
      </c>
      <c r="K98">
        <v>75</v>
      </c>
      <c r="L98" t="s">
        <v>27</v>
      </c>
      <c r="M98" t="s">
        <v>20</v>
      </c>
    </row>
    <row r="99" spans="1:13" x14ac:dyDescent="0.25">
      <c r="A99" t="s">
        <v>25</v>
      </c>
      <c r="B99" t="s">
        <v>13</v>
      </c>
      <c r="C99">
        <v>2018</v>
      </c>
      <c r="D99" t="s">
        <v>34</v>
      </c>
      <c r="E99">
        <v>565</v>
      </c>
      <c r="F99">
        <v>565</v>
      </c>
      <c r="G99" s="10">
        <f t="shared" si="1"/>
        <v>1</v>
      </c>
      <c r="H99">
        <v>16.8</v>
      </c>
      <c r="I99">
        <v>1960762</v>
      </c>
      <c r="J99">
        <v>47</v>
      </c>
      <c r="K99">
        <v>79</v>
      </c>
      <c r="L99" t="s">
        <v>23</v>
      </c>
      <c r="M99" t="s">
        <v>37</v>
      </c>
    </row>
    <row r="100" spans="1:13" x14ac:dyDescent="0.25">
      <c r="A100" t="s">
        <v>25</v>
      </c>
      <c r="B100" t="s">
        <v>28</v>
      </c>
      <c r="C100">
        <v>2018</v>
      </c>
      <c r="D100" t="s">
        <v>14</v>
      </c>
      <c r="E100">
        <v>828</v>
      </c>
      <c r="F100">
        <v>212</v>
      </c>
      <c r="G100" s="10">
        <f t="shared" si="1"/>
        <v>0.2560386473429952</v>
      </c>
      <c r="H100">
        <v>13</v>
      </c>
      <c r="I100">
        <v>2410635</v>
      </c>
      <c r="J100">
        <v>124</v>
      </c>
      <c r="K100">
        <v>62</v>
      </c>
      <c r="L100" t="s">
        <v>15</v>
      </c>
      <c r="M100" t="s">
        <v>30</v>
      </c>
    </row>
    <row r="101" spans="1:13" x14ac:dyDescent="0.25">
      <c r="A101" t="s">
        <v>25</v>
      </c>
      <c r="B101" t="s">
        <v>38</v>
      </c>
      <c r="C101">
        <v>2024</v>
      </c>
      <c r="D101" t="s">
        <v>32</v>
      </c>
      <c r="E101">
        <v>671</v>
      </c>
      <c r="F101">
        <v>356</v>
      </c>
      <c r="G101" s="10">
        <f t="shared" si="1"/>
        <v>0.53055141579731746</v>
      </c>
      <c r="H101">
        <v>10.7</v>
      </c>
      <c r="I101">
        <v>846937</v>
      </c>
      <c r="J101">
        <v>125</v>
      </c>
      <c r="K101">
        <v>94</v>
      </c>
      <c r="L101" t="s">
        <v>15</v>
      </c>
      <c r="M101" t="s">
        <v>24</v>
      </c>
    </row>
    <row r="102" spans="1:13" x14ac:dyDescent="0.25">
      <c r="A102" t="s">
        <v>12</v>
      </c>
      <c r="B102" t="s">
        <v>21</v>
      </c>
      <c r="C102">
        <v>2022</v>
      </c>
      <c r="D102" t="s">
        <v>12</v>
      </c>
      <c r="E102">
        <v>710</v>
      </c>
      <c r="F102">
        <v>710</v>
      </c>
      <c r="G102" s="10">
        <f t="shared" si="1"/>
        <v>1</v>
      </c>
      <c r="H102">
        <v>8</v>
      </c>
      <c r="I102">
        <v>1942228</v>
      </c>
      <c r="J102">
        <v>123</v>
      </c>
      <c r="K102">
        <v>82</v>
      </c>
      <c r="L102" t="s">
        <v>27</v>
      </c>
      <c r="M102" t="s">
        <v>24</v>
      </c>
    </row>
    <row r="103" spans="1:13" x14ac:dyDescent="0.25">
      <c r="A103" t="s">
        <v>25</v>
      </c>
      <c r="B103" t="s">
        <v>36</v>
      </c>
      <c r="C103">
        <v>2018</v>
      </c>
      <c r="D103" t="s">
        <v>14</v>
      </c>
      <c r="E103">
        <v>257</v>
      </c>
      <c r="F103">
        <v>257</v>
      </c>
      <c r="G103" s="10">
        <f t="shared" si="1"/>
        <v>1</v>
      </c>
      <c r="H103">
        <v>4.9000000000000004</v>
      </c>
      <c r="I103">
        <v>996782</v>
      </c>
      <c r="J103">
        <v>59</v>
      </c>
      <c r="K103">
        <v>77</v>
      </c>
      <c r="L103" t="s">
        <v>19</v>
      </c>
      <c r="M103" t="s">
        <v>20</v>
      </c>
    </row>
    <row r="104" spans="1:13" x14ac:dyDescent="0.25">
      <c r="A104" t="s">
        <v>12</v>
      </c>
      <c r="B104" t="s">
        <v>26</v>
      </c>
      <c r="C104">
        <v>2024</v>
      </c>
      <c r="D104" t="s">
        <v>14</v>
      </c>
      <c r="E104">
        <v>465</v>
      </c>
      <c r="F104">
        <v>465</v>
      </c>
      <c r="G104" s="10">
        <f t="shared" si="1"/>
        <v>1</v>
      </c>
      <c r="H104">
        <v>15.1</v>
      </c>
      <c r="I104">
        <v>1423196</v>
      </c>
      <c r="J104">
        <v>58</v>
      </c>
      <c r="K104">
        <v>68</v>
      </c>
      <c r="L104" t="s">
        <v>23</v>
      </c>
      <c r="M104" t="s">
        <v>37</v>
      </c>
    </row>
    <row r="105" spans="1:13" x14ac:dyDescent="0.25">
      <c r="A105" t="s">
        <v>12</v>
      </c>
      <c r="B105" t="s">
        <v>13</v>
      </c>
      <c r="C105">
        <v>2022</v>
      </c>
      <c r="D105" t="s">
        <v>32</v>
      </c>
      <c r="E105">
        <v>322</v>
      </c>
      <c r="F105">
        <v>322</v>
      </c>
      <c r="G105" s="10">
        <f t="shared" si="1"/>
        <v>1</v>
      </c>
      <c r="H105">
        <v>12.6</v>
      </c>
      <c r="I105">
        <v>1879492</v>
      </c>
      <c r="J105">
        <v>191</v>
      </c>
      <c r="K105">
        <v>89</v>
      </c>
      <c r="L105" t="s">
        <v>15</v>
      </c>
      <c r="M105" t="s">
        <v>20</v>
      </c>
    </row>
    <row r="106" spans="1:13" x14ac:dyDescent="0.25">
      <c r="A106" t="s">
        <v>25</v>
      </c>
      <c r="B106" t="s">
        <v>21</v>
      </c>
      <c r="C106">
        <v>2022</v>
      </c>
      <c r="D106" t="s">
        <v>14</v>
      </c>
      <c r="E106">
        <v>422</v>
      </c>
      <c r="F106">
        <v>422</v>
      </c>
      <c r="G106" s="10">
        <f t="shared" si="1"/>
        <v>1</v>
      </c>
      <c r="H106">
        <v>17.2</v>
      </c>
      <c r="I106">
        <v>995843</v>
      </c>
      <c r="J106">
        <v>102</v>
      </c>
      <c r="K106">
        <v>97</v>
      </c>
      <c r="L106" t="s">
        <v>23</v>
      </c>
      <c r="M106" t="s">
        <v>37</v>
      </c>
    </row>
    <row r="107" spans="1:13" x14ac:dyDescent="0.25">
      <c r="A107" t="s">
        <v>25</v>
      </c>
      <c r="B107" t="s">
        <v>38</v>
      </c>
      <c r="C107">
        <v>2022</v>
      </c>
      <c r="D107" t="s">
        <v>18</v>
      </c>
      <c r="E107">
        <v>642</v>
      </c>
      <c r="F107">
        <v>103</v>
      </c>
      <c r="G107" s="10">
        <f t="shared" si="1"/>
        <v>0.16043613707165108</v>
      </c>
      <c r="H107">
        <v>9.1</v>
      </c>
      <c r="I107">
        <v>521631</v>
      </c>
      <c r="J107">
        <v>112</v>
      </c>
      <c r="K107">
        <v>98</v>
      </c>
      <c r="L107" t="s">
        <v>27</v>
      </c>
      <c r="M107" t="s">
        <v>24</v>
      </c>
    </row>
    <row r="108" spans="1:13" x14ac:dyDescent="0.25">
      <c r="A108" t="s">
        <v>12</v>
      </c>
      <c r="B108" t="s">
        <v>36</v>
      </c>
      <c r="C108">
        <v>2022</v>
      </c>
      <c r="D108" t="s">
        <v>29</v>
      </c>
      <c r="E108">
        <v>385</v>
      </c>
      <c r="F108">
        <v>348</v>
      </c>
      <c r="G108" s="10">
        <f t="shared" si="1"/>
        <v>0.90389610389610386</v>
      </c>
      <c r="H108">
        <v>19.8</v>
      </c>
      <c r="I108">
        <v>1712575</v>
      </c>
      <c r="J108">
        <v>111</v>
      </c>
      <c r="K108">
        <v>89</v>
      </c>
      <c r="L108" t="s">
        <v>23</v>
      </c>
      <c r="M108" t="s">
        <v>20</v>
      </c>
    </row>
    <row r="109" spans="1:13" x14ac:dyDescent="0.25">
      <c r="A109" t="s">
        <v>25</v>
      </c>
      <c r="B109" t="s">
        <v>36</v>
      </c>
      <c r="C109">
        <v>2020</v>
      </c>
      <c r="D109" t="s">
        <v>22</v>
      </c>
      <c r="E109">
        <v>162</v>
      </c>
      <c r="F109">
        <v>85</v>
      </c>
      <c r="G109" s="10">
        <f t="shared" si="1"/>
        <v>0.52469135802469136</v>
      </c>
      <c r="H109">
        <v>10.6</v>
      </c>
      <c r="I109">
        <v>727020</v>
      </c>
      <c r="J109">
        <v>121</v>
      </c>
      <c r="K109">
        <v>92</v>
      </c>
      <c r="L109" t="s">
        <v>15</v>
      </c>
      <c r="M109" t="s">
        <v>16</v>
      </c>
    </row>
    <row r="110" spans="1:13" x14ac:dyDescent="0.25">
      <c r="A110" t="s">
        <v>12</v>
      </c>
      <c r="B110" t="s">
        <v>31</v>
      </c>
      <c r="C110">
        <v>2024</v>
      </c>
      <c r="D110" t="s">
        <v>12</v>
      </c>
      <c r="E110">
        <v>946</v>
      </c>
      <c r="F110">
        <v>104</v>
      </c>
      <c r="G110" s="10">
        <f t="shared" si="1"/>
        <v>0.10993657505285412</v>
      </c>
      <c r="H110">
        <v>18.2</v>
      </c>
      <c r="I110">
        <v>2287216</v>
      </c>
      <c r="J110">
        <v>99</v>
      </c>
      <c r="K110">
        <v>61</v>
      </c>
      <c r="L110" t="s">
        <v>23</v>
      </c>
      <c r="M110" t="s">
        <v>30</v>
      </c>
    </row>
    <row r="111" spans="1:13" x14ac:dyDescent="0.25">
      <c r="A111" t="s">
        <v>12</v>
      </c>
      <c r="B111" t="s">
        <v>33</v>
      </c>
      <c r="C111">
        <v>2021</v>
      </c>
      <c r="D111" t="s">
        <v>12</v>
      </c>
      <c r="E111">
        <v>825</v>
      </c>
      <c r="F111">
        <v>597</v>
      </c>
      <c r="G111" s="10">
        <f t="shared" si="1"/>
        <v>0.72363636363636363</v>
      </c>
      <c r="H111">
        <v>10.7</v>
      </c>
      <c r="I111">
        <v>617319</v>
      </c>
      <c r="J111">
        <v>185</v>
      </c>
      <c r="K111">
        <v>78</v>
      </c>
      <c r="L111" t="s">
        <v>15</v>
      </c>
      <c r="M111" t="s">
        <v>30</v>
      </c>
    </row>
    <row r="112" spans="1:13" x14ac:dyDescent="0.25">
      <c r="A112" t="s">
        <v>25</v>
      </c>
      <c r="B112" t="s">
        <v>21</v>
      </c>
      <c r="C112">
        <v>2021</v>
      </c>
      <c r="D112" t="s">
        <v>14</v>
      </c>
      <c r="E112">
        <v>966</v>
      </c>
      <c r="F112">
        <v>856</v>
      </c>
      <c r="G112" s="10">
        <f t="shared" si="1"/>
        <v>0.88612836438923392</v>
      </c>
      <c r="H112">
        <v>15.3</v>
      </c>
      <c r="I112">
        <v>769162</v>
      </c>
      <c r="J112">
        <v>39</v>
      </c>
      <c r="K112">
        <v>82</v>
      </c>
      <c r="L112" t="s">
        <v>23</v>
      </c>
      <c r="M112" t="s">
        <v>30</v>
      </c>
    </row>
    <row r="113" spans="1:13" x14ac:dyDescent="0.25">
      <c r="A113" t="s">
        <v>12</v>
      </c>
      <c r="B113" t="s">
        <v>38</v>
      </c>
      <c r="C113">
        <v>2022</v>
      </c>
      <c r="D113" t="s">
        <v>29</v>
      </c>
      <c r="E113">
        <v>365</v>
      </c>
      <c r="F113">
        <v>365</v>
      </c>
      <c r="G113" s="10">
        <f t="shared" si="1"/>
        <v>1</v>
      </c>
      <c r="H113">
        <v>18.600000000000001</v>
      </c>
      <c r="I113">
        <v>760860</v>
      </c>
      <c r="J113">
        <v>128</v>
      </c>
      <c r="K113">
        <v>72</v>
      </c>
      <c r="L113" t="s">
        <v>23</v>
      </c>
      <c r="M113" t="s">
        <v>20</v>
      </c>
    </row>
    <row r="114" spans="1:13" x14ac:dyDescent="0.25">
      <c r="A114" t="s">
        <v>25</v>
      </c>
      <c r="B114" t="s">
        <v>13</v>
      </c>
      <c r="C114">
        <v>2023</v>
      </c>
      <c r="D114" t="s">
        <v>29</v>
      </c>
      <c r="E114">
        <v>187</v>
      </c>
      <c r="F114">
        <v>187</v>
      </c>
      <c r="G114" s="10">
        <f t="shared" si="1"/>
        <v>1</v>
      </c>
      <c r="H114">
        <v>3.3</v>
      </c>
      <c r="I114">
        <v>1601663</v>
      </c>
      <c r="J114">
        <v>74</v>
      </c>
      <c r="K114">
        <v>79</v>
      </c>
      <c r="L114" t="s">
        <v>19</v>
      </c>
      <c r="M114" t="s">
        <v>16</v>
      </c>
    </row>
    <row r="115" spans="1:13" x14ac:dyDescent="0.25">
      <c r="A115" t="s">
        <v>12</v>
      </c>
      <c r="B115" t="s">
        <v>31</v>
      </c>
      <c r="C115">
        <v>2022</v>
      </c>
      <c r="D115" t="s">
        <v>34</v>
      </c>
      <c r="E115">
        <v>571</v>
      </c>
      <c r="F115">
        <v>516</v>
      </c>
      <c r="G115" s="10">
        <f t="shared" si="1"/>
        <v>0.90367775831873909</v>
      </c>
      <c r="H115">
        <v>11.4</v>
      </c>
      <c r="I115">
        <v>1213092</v>
      </c>
      <c r="J115">
        <v>82</v>
      </c>
      <c r="K115">
        <v>90</v>
      </c>
      <c r="L115" t="s">
        <v>15</v>
      </c>
      <c r="M115" t="s">
        <v>37</v>
      </c>
    </row>
    <row r="116" spans="1:13" x14ac:dyDescent="0.25">
      <c r="A116" t="s">
        <v>12</v>
      </c>
      <c r="B116" t="s">
        <v>36</v>
      </c>
      <c r="C116">
        <v>2021</v>
      </c>
      <c r="D116" t="s">
        <v>12</v>
      </c>
      <c r="E116">
        <v>907</v>
      </c>
      <c r="F116">
        <v>575</v>
      </c>
      <c r="G116" s="10">
        <f t="shared" si="1"/>
        <v>0.63395810363836824</v>
      </c>
      <c r="H116">
        <v>16.600000000000001</v>
      </c>
      <c r="I116">
        <v>1374498</v>
      </c>
      <c r="J116">
        <v>161</v>
      </c>
      <c r="K116">
        <v>68</v>
      </c>
      <c r="L116" t="s">
        <v>23</v>
      </c>
      <c r="M116" t="s">
        <v>30</v>
      </c>
    </row>
    <row r="117" spans="1:13" x14ac:dyDescent="0.25">
      <c r="A117" t="s">
        <v>12</v>
      </c>
      <c r="B117" t="s">
        <v>39</v>
      </c>
      <c r="C117">
        <v>2020</v>
      </c>
      <c r="D117" t="s">
        <v>29</v>
      </c>
      <c r="E117">
        <v>912</v>
      </c>
      <c r="F117">
        <v>692</v>
      </c>
      <c r="G117" s="10">
        <f t="shared" si="1"/>
        <v>0.75877192982456143</v>
      </c>
      <c r="H117">
        <v>16.899999999999999</v>
      </c>
      <c r="I117">
        <v>974017</v>
      </c>
      <c r="J117">
        <v>197</v>
      </c>
      <c r="K117">
        <v>62</v>
      </c>
      <c r="L117" t="s">
        <v>23</v>
      </c>
      <c r="M117" t="s">
        <v>30</v>
      </c>
    </row>
    <row r="118" spans="1:13" x14ac:dyDescent="0.25">
      <c r="A118" t="s">
        <v>12</v>
      </c>
      <c r="B118" t="s">
        <v>13</v>
      </c>
      <c r="C118">
        <v>2020</v>
      </c>
      <c r="D118" t="s">
        <v>32</v>
      </c>
      <c r="E118">
        <v>910</v>
      </c>
      <c r="F118">
        <v>443</v>
      </c>
      <c r="G118" s="10">
        <f t="shared" si="1"/>
        <v>0.4868131868131868</v>
      </c>
      <c r="H118">
        <v>19.600000000000001</v>
      </c>
      <c r="I118">
        <v>1283053</v>
      </c>
      <c r="J118">
        <v>103</v>
      </c>
      <c r="K118">
        <v>78</v>
      </c>
      <c r="L118" t="s">
        <v>23</v>
      </c>
      <c r="M118" t="s">
        <v>30</v>
      </c>
    </row>
    <row r="119" spans="1:13" x14ac:dyDescent="0.25">
      <c r="A119" t="s">
        <v>12</v>
      </c>
      <c r="B119" t="s">
        <v>28</v>
      </c>
      <c r="C119">
        <v>2024</v>
      </c>
      <c r="D119" t="s">
        <v>14</v>
      </c>
      <c r="E119">
        <v>815</v>
      </c>
      <c r="F119">
        <v>815</v>
      </c>
      <c r="G119" s="10">
        <f t="shared" si="1"/>
        <v>1</v>
      </c>
      <c r="H119">
        <v>9.9</v>
      </c>
      <c r="I119">
        <v>2273813</v>
      </c>
      <c r="J119">
        <v>94</v>
      </c>
      <c r="K119">
        <v>86</v>
      </c>
      <c r="L119" t="s">
        <v>27</v>
      </c>
      <c r="M119" t="s">
        <v>30</v>
      </c>
    </row>
    <row r="120" spans="1:13" x14ac:dyDescent="0.25">
      <c r="A120" t="s">
        <v>12</v>
      </c>
      <c r="B120" t="s">
        <v>35</v>
      </c>
      <c r="C120">
        <v>2024</v>
      </c>
      <c r="D120" t="s">
        <v>18</v>
      </c>
      <c r="E120">
        <v>475</v>
      </c>
      <c r="F120">
        <v>57</v>
      </c>
      <c r="G120" s="10">
        <f t="shared" si="1"/>
        <v>0.12</v>
      </c>
      <c r="H120">
        <v>12.2</v>
      </c>
      <c r="I120">
        <v>1433798</v>
      </c>
      <c r="J120">
        <v>83</v>
      </c>
      <c r="K120">
        <v>95</v>
      </c>
      <c r="L120" t="s">
        <v>15</v>
      </c>
      <c r="M120" t="s">
        <v>37</v>
      </c>
    </row>
    <row r="121" spans="1:13" x14ac:dyDescent="0.25">
      <c r="A121" t="s">
        <v>12</v>
      </c>
      <c r="B121" t="s">
        <v>38</v>
      </c>
      <c r="C121">
        <v>2019</v>
      </c>
      <c r="D121" t="s">
        <v>22</v>
      </c>
      <c r="E121">
        <v>832</v>
      </c>
      <c r="F121">
        <v>87</v>
      </c>
      <c r="G121" s="10">
        <f t="shared" si="1"/>
        <v>0.1045673076923077</v>
      </c>
      <c r="H121">
        <v>5.5</v>
      </c>
      <c r="I121">
        <v>2483796</v>
      </c>
      <c r="J121">
        <v>194</v>
      </c>
      <c r="K121">
        <v>80</v>
      </c>
      <c r="L121" t="s">
        <v>27</v>
      </c>
      <c r="M121" t="s">
        <v>30</v>
      </c>
    </row>
    <row r="122" spans="1:13" x14ac:dyDescent="0.25">
      <c r="A122" t="s">
        <v>12</v>
      </c>
      <c r="B122" t="s">
        <v>39</v>
      </c>
      <c r="C122">
        <v>2020</v>
      </c>
      <c r="D122" t="s">
        <v>34</v>
      </c>
      <c r="E122">
        <v>610</v>
      </c>
      <c r="F122">
        <v>170</v>
      </c>
      <c r="G122" s="10">
        <f t="shared" si="1"/>
        <v>0.27868852459016391</v>
      </c>
      <c r="H122">
        <v>12.4</v>
      </c>
      <c r="I122">
        <v>1131552</v>
      </c>
      <c r="J122">
        <v>185</v>
      </c>
      <c r="K122">
        <v>89</v>
      </c>
      <c r="L122" t="s">
        <v>15</v>
      </c>
      <c r="M122" t="s">
        <v>24</v>
      </c>
    </row>
    <row r="123" spans="1:13" x14ac:dyDescent="0.25">
      <c r="A123" t="s">
        <v>12</v>
      </c>
      <c r="B123" t="s">
        <v>38</v>
      </c>
      <c r="C123">
        <v>2020</v>
      </c>
      <c r="D123" t="s">
        <v>29</v>
      </c>
      <c r="E123">
        <v>287</v>
      </c>
      <c r="F123">
        <v>287</v>
      </c>
      <c r="G123" s="10">
        <f t="shared" si="1"/>
        <v>1</v>
      </c>
      <c r="H123">
        <v>16.8</v>
      </c>
      <c r="I123">
        <v>615003</v>
      </c>
      <c r="J123">
        <v>81</v>
      </c>
      <c r="K123">
        <v>81</v>
      </c>
      <c r="L123" t="s">
        <v>23</v>
      </c>
      <c r="M123" t="s">
        <v>20</v>
      </c>
    </row>
    <row r="124" spans="1:13" x14ac:dyDescent="0.25">
      <c r="A124" t="s">
        <v>12</v>
      </c>
      <c r="B124" t="s">
        <v>38</v>
      </c>
      <c r="C124">
        <v>2022</v>
      </c>
      <c r="D124" t="s">
        <v>22</v>
      </c>
      <c r="E124">
        <v>823</v>
      </c>
      <c r="F124">
        <v>281</v>
      </c>
      <c r="G124" s="10">
        <f t="shared" si="1"/>
        <v>0.34143377885783716</v>
      </c>
      <c r="H124">
        <v>13</v>
      </c>
      <c r="I124">
        <v>1358069</v>
      </c>
      <c r="J124">
        <v>152</v>
      </c>
      <c r="K124">
        <v>71</v>
      </c>
      <c r="L124" t="s">
        <v>15</v>
      </c>
      <c r="M124" t="s">
        <v>30</v>
      </c>
    </row>
    <row r="125" spans="1:13" x14ac:dyDescent="0.25">
      <c r="A125" t="s">
        <v>12</v>
      </c>
      <c r="B125" t="s">
        <v>26</v>
      </c>
      <c r="C125">
        <v>2024</v>
      </c>
      <c r="D125" t="s">
        <v>22</v>
      </c>
      <c r="E125">
        <v>549</v>
      </c>
      <c r="F125">
        <v>549</v>
      </c>
      <c r="G125" s="10">
        <f t="shared" si="1"/>
        <v>1</v>
      </c>
      <c r="H125">
        <v>8.6999999999999993</v>
      </c>
      <c r="I125">
        <v>998360</v>
      </c>
      <c r="J125">
        <v>154</v>
      </c>
      <c r="K125">
        <v>87</v>
      </c>
      <c r="L125" t="s">
        <v>27</v>
      </c>
      <c r="M125" t="s">
        <v>37</v>
      </c>
    </row>
    <row r="126" spans="1:13" x14ac:dyDescent="0.25">
      <c r="A126" t="s">
        <v>12</v>
      </c>
      <c r="B126" t="s">
        <v>17</v>
      </c>
      <c r="C126">
        <v>2023</v>
      </c>
      <c r="D126" t="s">
        <v>14</v>
      </c>
      <c r="E126">
        <v>858</v>
      </c>
      <c r="F126">
        <v>505</v>
      </c>
      <c r="G126" s="10">
        <f t="shared" si="1"/>
        <v>0.58857808857808858</v>
      </c>
      <c r="H126">
        <v>5.0999999999999996</v>
      </c>
      <c r="I126">
        <v>1031610</v>
      </c>
      <c r="J126">
        <v>81</v>
      </c>
      <c r="K126">
        <v>86</v>
      </c>
      <c r="L126" t="s">
        <v>27</v>
      </c>
      <c r="M126" t="s">
        <v>30</v>
      </c>
    </row>
    <row r="127" spans="1:13" x14ac:dyDescent="0.25">
      <c r="A127" t="s">
        <v>12</v>
      </c>
      <c r="B127" t="s">
        <v>13</v>
      </c>
      <c r="C127">
        <v>2021</v>
      </c>
      <c r="D127" t="s">
        <v>14</v>
      </c>
      <c r="E127">
        <v>316</v>
      </c>
      <c r="F127">
        <v>250</v>
      </c>
      <c r="G127" s="10">
        <f t="shared" si="1"/>
        <v>0.79113924050632911</v>
      </c>
      <c r="H127">
        <v>7.6</v>
      </c>
      <c r="I127">
        <v>1142272</v>
      </c>
      <c r="J127">
        <v>163</v>
      </c>
      <c r="K127">
        <v>88</v>
      </c>
      <c r="L127" t="s">
        <v>27</v>
      </c>
      <c r="M127" t="s">
        <v>20</v>
      </c>
    </row>
    <row r="128" spans="1:13" x14ac:dyDescent="0.25">
      <c r="A128" t="s">
        <v>25</v>
      </c>
      <c r="B128" t="s">
        <v>21</v>
      </c>
      <c r="C128">
        <v>2022</v>
      </c>
      <c r="D128" t="s">
        <v>34</v>
      </c>
      <c r="E128">
        <v>326</v>
      </c>
      <c r="F128">
        <v>326</v>
      </c>
      <c r="G128" s="10">
        <f t="shared" si="1"/>
        <v>1</v>
      </c>
      <c r="H128">
        <v>4.7</v>
      </c>
      <c r="I128">
        <v>1583423</v>
      </c>
      <c r="J128">
        <v>59</v>
      </c>
      <c r="K128">
        <v>94</v>
      </c>
      <c r="L128" t="s">
        <v>19</v>
      </c>
      <c r="M128" t="s">
        <v>20</v>
      </c>
    </row>
    <row r="129" spans="1:13" x14ac:dyDescent="0.25">
      <c r="A129" t="s">
        <v>25</v>
      </c>
      <c r="B129" t="s">
        <v>35</v>
      </c>
      <c r="C129">
        <v>2018</v>
      </c>
      <c r="D129" t="s">
        <v>29</v>
      </c>
      <c r="E129">
        <v>696</v>
      </c>
      <c r="F129">
        <v>673</v>
      </c>
      <c r="G129" s="10">
        <f t="shared" si="1"/>
        <v>0.96695402298850575</v>
      </c>
      <c r="H129">
        <v>8.1999999999999993</v>
      </c>
      <c r="I129">
        <v>1199659</v>
      </c>
      <c r="J129">
        <v>151</v>
      </c>
      <c r="K129">
        <v>97</v>
      </c>
      <c r="L129" t="s">
        <v>27</v>
      </c>
      <c r="M129" t="s">
        <v>24</v>
      </c>
    </row>
    <row r="130" spans="1:13" x14ac:dyDescent="0.25">
      <c r="A130" t="s">
        <v>12</v>
      </c>
      <c r="B130" t="s">
        <v>17</v>
      </c>
      <c r="C130">
        <v>2024</v>
      </c>
      <c r="D130" t="s">
        <v>14</v>
      </c>
      <c r="E130">
        <v>387</v>
      </c>
      <c r="F130">
        <v>282</v>
      </c>
      <c r="G130" s="10">
        <f t="shared" si="1"/>
        <v>0.72868217054263562</v>
      </c>
      <c r="H130">
        <v>7.2</v>
      </c>
      <c r="I130">
        <v>528793</v>
      </c>
      <c r="J130">
        <v>158</v>
      </c>
      <c r="K130">
        <v>78</v>
      </c>
      <c r="L130" t="s">
        <v>27</v>
      </c>
      <c r="M130" t="s">
        <v>20</v>
      </c>
    </row>
    <row r="131" spans="1:13" x14ac:dyDescent="0.25">
      <c r="A131" t="s">
        <v>12</v>
      </c>
      <c r="B131" t="s">
        <v>38</v>
      </c>
      <c r="C131">
        <v>2020</v>
      </c>
      <c r="D131" t="s">
        <v>32</v>
      </c>
      <c r="E131">
        <v>191</v>
      </c>
      <c r="F131">
        <v>191</v>
      </c>
      <c r="G131" s="10">
        <f t="shared" ref="G131:G151" si="2" xml:space="preserve"> AVERAGE(F131/E131)</f>
        <v>1</v>
      </c>
      <c r="H131">
        <v>3</v>
      </c>
      <c r="I131">
        <v>1377250</v>
      </c>
      <c r="J131">
        <v>161</v>
      </c>
      <c r="K131">
        <v>64</v>
      </c>
      <c r="L131" t="s">
        <v>19</v>
      </c>
      <c r="M131" t="s">
        <v>16</v>
      </c>
    </row>
    <row r="132" spans="1:13" x14ac:dyDescent="0.25">
      <c r="A132" t="s">
        <v>25</v>
      </c>
      <c r="B132" t="s">
        <v>38</v>
      </c>
      <c r="C132">
        <v>2023</v>
      </c>
      <c r="D132" t="s">
        <v>34</v>
      </c>
      <c r="E132">
        <v>903</v>
      </c>
      <c r="F132">
        <v>579</v>
      </c>
      <c r="G132" s="10">
        <f t="shared" si="2"/>
        <v>0.64119601328903653</v>
      </c>
      <c r="H132">
        <v>18.5</v>
      </c>
      <c r="I132">
        <v>1153765</v>
      </c>
      <c r="J132">
        <v>189</v>
      </c>
      <c r="K132">
        <v>65</v>
      </c>
      <c r="L132" t="s">
        <v>23</v>
      </c>
      <c r="M132" t="s">
        <v>30</v>
      </c>
    </row>
    <row r="133" spans="1:13" x14ac:dyDescent="0.25">
      <c r="A133" t="s">
        <v>12</v>
      </c>
      <c r="B133" t="s">
        <v>21</v>
      </c>
      <c r="C133">
        <v>2023</v>
      </c>
      <c r="D133" t="s">
        <v>14</v>
      </c>
      <c r="E133">
        <v>209</v>
      </c>
      <c r="F133">
        <v>209</v>
      </c>
      <c r="G133" s="10">
        <f t="shared" si="2"/>
        <v>1</v>
      </c>
      <c r="H133">
        <v>6.3</v>
      </c>
      <c r="I133">
        <v>1600559</v>
      </c>
      <c r="J133">
        <v>189</v>
      </c>
      <c r="K133">
        <v>76</v>
      </c>
      <c r="L133" t="s">
        <v>27</v>
      </c>
      <c r="M133" t="s">
        <v>20</v>
      </c>
    </row>
    <row r="134" spans="1:13" x14ac:dyDescent="0.25">
      <c r="A134" t="s">
        <v>12</v>
      </c>
      <c r="B134" t="s">
        <v>38</v>
      </c>
      <c r="C134">
        <v>2021</v>
      </c>
      <c r="D134" t="s">
        <v>12</v>
      </c>
      <c r="E134">
        <v>810</v>
      </c>
      <c r="F134">
        <v>399</v>
      </c>
      <c r="G134" s="10">
        <f t="shared" si="2"/>
        <v>0.49259259259259258</v>
      </c>
      <c r="H134">
        <v>16.899999999999999</v>
      </c>
      <c r="I134">
        <v>649358</v>
      </c>
      <c r="J134">
        <v>79</v>
      </c>
      <c r="K134">
        <v>68</v>
      </c>
      <c r="L134" t="s">
        <v>23</v>
      </c>
      <c r="M134" t="s">
        <v>30</v>
      </c>
    </row>
    <row r="135" spans="1:13" x14ac:dyDescent="0.25">
      <c r="A135" t="s">
        <v>25</v>
      </c>
      <c r="B135" t="s">
        <v>21</v>
      </c>
      <c r="C135">
        <v>2019</v>
      </c>
      <c r="D135" t="s">
        <v>14</v>
      </c>
      <c r="E135">
        <v>171</v>
      </c>
      <c r="F135">
        <v>171</v>
      </c>
      <c r="G135" s="10">
        <f t="shared" si="2"/>
        <v>1</v>
      </c>
      <c r="H135">
        <v>4.2</v>
      </c>
      <c r="I135">
        <v>2458521</v>
      </c>
      <c r="J135">
        <v>196</v>
      </c>
      <c r="K135">
        <v>74</v>
      </c>
      <c r="L135" t="s">
        <v>19</v>
      </c>
      <c r="M135" t="s">
        <v>16</v>
      </c>
    </row>
    <row r="136" spans="1:13" x14ac:dyDescent="0.25">
      <c r="A136" t="s">
        <v>12</v>
      </c>
      <c r="B136" t="s">
        <v>26</v>
      </c>
      <c r="C136">
        <v>2024</v>
      </c>
      <c r="D136" t="s">
        <v>22</v>
      </c>
      <c r="E136">
        <v>882</v>
      </c>
      <c r="F136">
        <v>754</v>
      </c>
      <c r="G136" s="10">
        <f t="shared" si="2"/>
        <v>0.85487528344671204</v>
      </c>
      <c r="H136">
        <v>18.3</v>
      </c>
      <c r="I136">
        <v>1832145</v>
      </c>
      <c r="J136">
        <v>146</v>
      </c>
      <c r="K136">
        <v>98</v>
      </c>
      <c r="L136" t="s">
        <v>23</v>
      </c>
      <c r="M136" t="s">
        <v>30</v>
      </c>
    </row>
    <row r="137" spans="1:13" x14ac:dyDescent="0.25">
      <c r="A137" t="s">
        <v>12</v>
      </c>
      <c r="B137" t="s">
        <v>17</v>
      </c>
      <c r="C137">
        <v>2018</v>
      </c>
      <c r="D137" t="s">
        <v>32</v>
      </c>
      <c r="E137">
        <v>554</v>
      </c>
      <c r="F137">
        <v>502</v>
      </c>
      <c r="G137" s="10">
        <f t="shared" si="2"/>
        <v>0.90613718411552346</v>
      </c>
      <c r="H137">
        <v>19.8</v>
      </c>
      <c r="I137">
        <v>1825420</v>
      </c>
      <c r="J137">
        <v>161</v>
      </c>
      <c r="K137">
        <v>70</v>
      </c>
      <c r="L137" t="s">
        <v>23</v>
      </c>
      <c r="M137" t="s">
        <v>37</v>
      </c>
    </row>
    <row r="138" spans="1:13" x14ac:dyDescent="0.25">
      <c r="A138" t="s">
        <v>12</v>
      </c>
      <c r="B138" t="s">
        <v>13</v>
      </c>
      <c r="C138">
        <v>2022</v>
      </c>
      <c r="D138" t="s">
        <v>22</v>
      </c>
      <c r="E138">
        <v>131</v>
      </c>
      <c r="F138">
        <v>131</v>
      </c>
      <c r="G138" s="10">
        <f t="shared" si="2"/>
        <v>1</v>
      </c>
      <c r="H138">
        <v>13.6</v>
      </c>
      <c r="I138">
        <v>530476</v>
      </c>
      <c r="J138">
        <v>133</v>
      </c>
      <c r="K138">
        <v>68</v>
      </c>
      <c r="L138" t="s">
        <v>15</v>
      </c>
      <c r="M138" t="s">
        <v>16</v>
      </c>
    </row>
    <row r="139" spans="1:13" x14ac:dyDescent="0.25">
      <c r="A139" t="s">
        <v>25</v>
      </c>
      <c r="B139" t="s">
        <v>28</v>
      </c>
      <c r="C139">
        <v>2019</v>
      </c>
      <c r="D139" t="s">
        <v>14</v>
      </c>
      <c r="E139">
        <v>460</v>
      </c>
      <c r="F139">
        <v>460</v>
      </c>
      <c r="G139" s="10">
        <f t="shared" si="2"/>
        <v>1</v>
      </c>
      <c r="H139">
        <v>7.5</v>
      </c>
      <c r="I139">
        <v>2180110</v>
      </c>
      <c r="J139">
        <v>69</v>
      </c>
      <c r="K139">
        <v>79</v>
      </c>
      <c r="L139" t="s">
        <v>27</v>
      </c>
      <c r="M139" t="s">
        <v>37</v>
      </c>
    </row>
    <row r="140" spans="1:13" x14ac:dyDescent="0.25">
      <c r="A140" t="s">
        <v>12</v>
      </c>
      <c r="B140" t="s">
        <v>17</v>
      </c>
      <c r="C140">
        <v>2021</v>
      </c>
      <c r="D140" t="s">
        <v>32</v>
      </c>
      <c r="E140">
        <v>806</v>
      </c>
      <c r="F140">
        <v>700</v>
      </c>
      <c r="G140" s="10">
        <f t="shared" si="2"/>
        <v>0.86848635235732008</v>
      </c>
      <c r="H140">
        <v>7.3</v>
      </c>
      <c r="I140">
        <v>1104173</v>
      </c>
      <c r="J140">
        <v>86</v>
      </c>
      <c r="K140">
        <v>70</v>
      </c>
      <c r="L140" t="s">
        <v>27</v>
      </c>
      <c r="M140" t="s">
        <v>30</v>
      </c>
    </row>
    <row r="141" spans="1:13" x14ac:dyDescent="0.25">
      <c r="A141" t="s">
        <v>12</v>
      </c>
      <c r="B141" t="s">
        <v>17</v>
      </c>
      <c r="C141">
        <v>2023</v>
      </c>
      <c r="D141" t="s">
        <v>12</v>
      </c>
      <c r="E141">
        <v>986</v>
      </c>
      <c r="F141">
        <v>319</v>
      </c>
      <c r="G141" s="10">
        <f t="shared" si="2"/>
        <v>0.3235294117647059</v>
      </c>
      <c r="H141">
        <v>14.2</v>
      </c>
      <c r="I141">
        <v>1335341</v>
      </c>
      <c r="J141">
        <v>108</v>
      </c>
      <c r="K141">
        <v>92</v>
      </c>
      <c r="L141" t="s">
        <v>15</v>
      </c>
      <c r="M141" t="s">
        <v>30</v>
      </c>
    </row>
    <row r="142" spans="1:13" x14ac:dyDescent="0.25">
      <c r="A142" t="s">
        <v>12</v>
      </c>
      <c r="B142" t="s">
        <v>26</v>
      </c>
      <c r="C142">
        <v>2021</v>
      </c>
      <c r="D142" t="s">
        <v>22</v>
      </c>
      <c r="E142">
        <v>869</v>
      </c>
      <c r="F142">
        <v>845</v>
      </c>
      <c r="G142" s="10">
        <f t="shared" si="2"/>
        <v>0.97238204833141539</v>
      </c>
      <c r="H142">
        <v>5.2</v>
      </c>
      <c r="I142">
        <v>723052</v>
      </c>
      <c r="J142">
        <v>92</v>
      </c>
      <c r="K142">
        <v>75</v>
      </c>
      <c r="L142" t="s">
        <v>27</v>
      </c>
      <c r="M142" t="s">
        <v>30</v>
      </c>
    </row>
    <row r="143" spans="1:13" x14ac:dyDescent="0.25">
      <c r="A143" t="s">
        <v>12</v>
      </c>
      <c r="B143" t="s">
        <v>33</v>
      </c>
      <c r="C143">
        <v>2020</v>
      </c>
      <c r="D143" t="s">
        <v>32</v>
      </c>
      <c r="E143">
        <v>802</v>
      </c>
      <c r="F143">
        <v>634</v>
      </c>
      <c r="G143" s="10">
        <f t="shared" si="2"/>
        <v>0.79052369077306728</v>
      </c>
      <c r="H143">
        <v>9.6999999999999993</v>
      </c>
      <c r="I143">
        <v>2278111</v>
      </c>
      <c r="J143">
        <v>149</v>
      </c>
      <c r="K143">
        <v>93</v>
      </c>
      <c r="L143" t="s">
        <v>27</v>
      </c>
      <c r="M143" t="s">
        <v>30</v>
      </c>
    </row>
    <row r="144" spans="1:13" x14ac:dyDescent="0.25">
      <c r="A144" t="s">
        <v>25</v>
      </c>
      <c r="B144" t="s">
        <v>40</v>
      </c>
      <c r="C144">
        <v>2021</v>
      </c>
      <c r="D144" t="s">
        <v>14</v>
      </c>
      <c r="E144">
        <v>426</v>
      </c>
      <c r="F144">
        <v>158</v>
      </c>
      <c r="G144" s="10">
        <f t="shared" si="2"/>
        <v>0.37089201877934275</v>
      </c>
      <c r="H144">
        <v>17.600000000000001</v>
      </c>
      <c r="I144">
        <v>1235304</v>
      </c>
      <c r="J144">
        <v>71</v>
      </c>
      <c r="K144">
        <v>88</v>
      </c>
      <c r="L144" t="s">
        <v>23</v>
      </c>
      <c r="M144" t="s">
        <v>37</v>
      </c>
    </row>
    <row r="145" spans="1:13" x14ac:dyDescent="0.25">
      <c r="A145" t="s">
        <v>25</v>
      </c>
      <c r="B145" t="s">
        <v>31</v>
      </c>
      <c r="C145">
        <v>2023</v>
      </c>
      <c r="D145" t="s">
        <v>18</v>
      </c>
      <c r="E145">
        <v>511</v>
      </c>
      <c r="F145">
        <v>484</v>
      </c>
      <c r="G145" s="10">
        <f t="shared" si="2"/>
        <v>0.94716242661448136</v>
      </c>
      <c r="H145">
        <v>5.9</v>
      </c>
      <c r="I145">
        <v>1172712</v>
      </c>
      <c r="J145">
        <v>88</v>
      </c>
      <c r="K145">
        <v>70</v>
      </c>
      <c r="L145" t="s">
        <v>27</v>
      </c>
      <c r="M145" t="s">
        <v>37</v>
      </c>
    </row>
    <row r="146" spans="1:13" x14ac:dyDescent="0.25">
      <c r="A146" t="s">
        <v>12</v>
      </c>
      <c r="B146" t="s">
        <v>40</v>
      </c>
      <c r="C146">
        <v>2023</v>
      </c>
      <c r="D146" t="s">
        <v>12</v>
      </c>
      <c r="E146">
        <v>872</v>
      </c>
      <c r="F146">
        <v>198</v>
      </c>
      <c r="G146" s="10">
        <f t="shared" si="2"/>
        <v>0.22706422018348624</v>
      </c>
      <c r="H146">
        <v>13.2</v>
      </c>
      <c r="I146">
        <v>621867</v>
      </c>
      <c r="J146">
        <v>173</v>
      </c>
      <c r="K146">
        <v>66</v>
      </c>
      <c r="L146" t="s">
        <v>15</v>
      </c>
      <c r="M146" t="s">
        <v>30</v>
      </c>
    </row>
    <row r="147" spans="1:13" x14ac:dyDescent="0.25">
      <c r="A147" t="s">
        <v>25</v>
      </c>
      <c r="B147" t="s">
        <v>33</v>
      </c>
      <c r="C147">
        <v>2018</v>
      </c>
      <c r="D147" t="s">
        <v>34</v>
      </c>
      <c r="E147">
        <v>366</v>
      </c>
      <c r="F147">
        <v>207</v>
      </c>
      <c r="G147" s="10">
        <f t="shared" si="2"/>
        <v>0.56557377049180324</v>
      </c>
      <c r="H147">
        <v>13.7</v>
      </c>
      <c r="I147">
        <v>1566073</v>
      </c>
      <c r="J147">
        <v>94</v>
      </c>
      <c r="K147">
        <v>99</v>
      </c>
      <c r="L147" t="s">
        <v>15</v>
      </c>
      <c r="M147" t="s">
        <v>20</v>
      </c>
    </row>
    <row r="148" spans="1:13" x14ac:dyDescent="0.25">
      <c r="A148" t="s">
        <v>25</v>
      </c>
      <c r="B148" t="s">
        <v>26</v>
      </c>
      <c r="C148">
        <v>2024</v>
      </c>
      <c r="D148" t="s">
        <v>34</v>
      </c>
      <c r="E148">
        <v>422</v>
      </c>
      <c r="F148">
        <v>422</v>
      </c>
      <c r="G148" s="10">
        <f t="shared" si="2"/>
        <v>1</v>
      </c>
      <c r="H148">
        <v>4.8</v>
      </c>
      <c r="I148">
        <v>1559539</v>
      </c>
      <c r="J148">
        <v>170</v>
      </c>
      <c r="K148">
        <v>82</v>
      </c>
      <c r="L148" t="s">
        <v>19</v>
      </c>
      <c r="M148" t="s">
        <v>37</v>
      </c>
    </row>
    <row r="149" spans="1:13" x14ac:dyDescent="0.25">
      <c r="A149" t="s">
        <v>12</v>
      </c>
      <c r="B149" t="s">
        <v>40</v>
      </c>
      <c r="C149">
        <v>2023</v>
      </c>
      <c r="D149" t="s">
        <v>32</v>
      </c>
      <c r="E149">
        <v>375</v>
      </c>
      <c r="F149">
        <v>52</v>
      </c>
      <c r="G149" s="10">
        <f t="shared" si="2"/>
        <v>0.13866666666666666</v>
      </c>
      <c r="H149">
        <v>8.5</v>
      </c>
      <c r="I149">
        <v>663310</v>
      </c>
      <c r="J149">
        <v>63</v>
      </c>
      <c r="K149">
        <v>62</v>
      </c>
      <c r="L149" t="s">
        <v>27</v>
      </c>
      <c r="M149" t="s">
        <v>20</v>
      </c>
    </row>
    <row r="150" spans="1:13" x14ac:dyDescent="0.25">
      <c r="A150" t="s">
        <v>12</v>
      </c>
      <c r="B150" t="s">
        <v>26</v>
      </c>
      <c r="C150">
        <v>2020</v>
      </c>
      <c r="D150" t="s">
        <v>29</v>
      </c>
      <c r="E150">
        <v>406</v>
      </c>
      <c r="F150">
        <v>406</v>
      </c>
      <c r="G150" s="10">
        <f t="shared" si="2"/>
        <v>1</v>
      </c>
      <c r="H150">
        <v>7.6</v>
      </c>
      <c r="I150">
        <v>590687</v>
      </c>
      <c r="J150">
        <v>121</v>
      </c>
      <c r="K150">
        <v>84</v>
      </c>
      <c r="L150" t="s">
        <v>27</v>
      </c>
      <c r="M150" t="s">
        <v>37</v>
      </c>
    </row>
    <row r="151" spans="1:13" x14ac:dyDescent="0.25">
      <c r="A151" t="s">
        <v>25</v>
      </c>
      <c r="B151" t="s">
        <v>26</v>
      </c>
      <c r="C151">
        <v>2018</v>
      </c>
      <c r="D151" t="s">
        <v>22</v>
      </c>
      <c r="E151">
        <v>826</v>
      </c>
      <c r="F151">
        <v>636</v>
      </c>
      <c r="G151" s="10">
        <f t="shared" si="2"/>
        <v>0.76997578692493951</v>
      </c>
      <c r="H151">
        <v>3.2</v>
      </c>
      <c r="I151">
        <v>2341623</v>
      </c>
      <c r="J151">
        <v>123</v>
      </c>
      <c r="K151">
        <v>76</v>
      </c>
      <c r="L151" t="s">
        <v>19</v>
      </c>
      <c r="M151" t="s">
        <v>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2A8D6-E718-40CE-A5FF-5713FD1BC5A0}">
  <dimension ref="A1:AN29"/>
  <sheetViews>
    <sheetView showGridLines="0" workbookViewId="0">
      <selection activeCell="W30" sqref="W30"/>
    </sheetView>
  </sheetViews>
  <sheetFormatPr defaultRowHeight="15" x14ac:dyDescent="0.25"/>
  <cols>
    <col min="1" max="16384" width="9.140625" style="12"/>
  </cols>
  <sheetData>
    <row r="1" spans="1:40" ht="15" customHeight="1" x14ac:dyDescent="0.25">
      <c r="A1" s="16" t="s">
        <v>51</v>
      </c>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row>
    <row r="2" spans="1:40" ht="15" customHeight="1" x14ac:dyDescent="0.25">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row>
    <row r="3" spans="1:40" ht="15" customHeight="1" x14ac:dyDescent="0.25">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row>
    <row r="4" spans="1:40" ht="15" customHeight="1" x14ac:dyDescent="0.25">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row>
    <row r="5" spans="1:40" ht="15" customHeight="1"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row>
    <row r="6" spans="1:40" ht="15" customHeight="1" x14ac:dyDescent="0.25">
      <c r="A6" s="16"/>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row>
    <row r="7" spans="1:40" ht="15" customHeight="1" x14ac:dyDescent="0.25">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row>
    <row r="8" spans="1:40" ht="15" customHeight="1" x14ac:dyDescent="0.25">
      <c r="A8" s="16"/>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row>
    <row r="9" spans="1:40" x14ac:dyDescent="0.25">
      <c r="A9" s="16"/>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row>
    <row r="29" spans="2:2" x14ac:dyDescent="0.25">
      <c r="B29" s="12" t="s">
        <v>39</v>
      </c>
    </row>
  </sheetData>
  <mergeCells count="1">
    <mergeCell ref="A1:AN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C2DFB-5CAB-4788-8179-B254F833884D}">
  <dimension ref="I10"/>
  <sheetViews>
    <sheetView showGridLines="0" workbookViewId="0">
      <selection activeCell="G18" sqref="G18"/>
    </sheetView>
  </sheetViews>
  <sheetFormatPr defaultRowHeight="15" x14ac:dyDescent="0.25"/>
  <cols>
    <col min="1" max="16384" width="9.140625" style="8"/>
  </cols>
  <sheetData>
    <row r="10" spans="9:9" x14ac:dyDescent="0.25">
      <c r="I10" s="9"/>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B13CFFDAAE59C4CA678E7EE4E73178D" ma:contentTypeVersion="11" ma:contentTypeDescription="Create a new document." ma:contentTypeScope="" ma:versionID="e05d12ad55831ca1d94ab0d6bf4c33ae">
  <xsd:schema xmlns:xsd="http://www.w3.org/2001/XMLSchema" xmlns:xs="http://www.w3.org/2001/XMLSchema" xmlns:p="http://schemas.microsoft.com/office/2006/metadata/properties" xmlns:ns2="f7ad296a-57ff-428c-b4cb-07edbf36982d" xmlns:ns3="2d161a28-3536-4ba6-9ad5-e5ce0dbbadc5" targetNamespace="http://schemas.microsoft.com/office/2006/metadata/properties" ma:root="true" ma:fieldsID="accd58e9f676c36d920d788803336cd6" ns2:_="" ns3:_="">
    <xsd:import namespace="f7ad296a-57ff-428c-b4cb-07edbf36982d"/>
    <xsd:import namespace="2d161a28-3536-4ba6-9ad5-e5ce0dbbadc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ad296a-57ff-428c-b4cb-07edbf3698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9f491e78-420f-4edb-9831-7a9dfb4c094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d161a28-3536-4ba6-9ad5-e5ce0dbbadc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2d85bd3-23aa-4473-ac82-63d1297df6af}" ma:internalName="TaxCatchAll" ma:showField="CatchAllData" ma:web="2d161a28-3536-4ba6-9ad5-e5ce0dbbad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7ad296a-57ff-428c-b4cb-07edbf36982d">
      <Terms xmlns="http://schemas.microsoft.com/office/infopath/2007/PartnerControls"/>
    </lcf76f155ced4ddcb4097134ff3c332f>
    <TaxCatchAll xmlns="2d161a28-3536-4ba6-9ad5-e5ce0dbbadc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72BB855-D9E2-418E-8D59-E846EEFC12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ad296a-57ff-428c-b4cb-07edbf36982d"/>
    <ds:schemaRef ds:uri="2d161a28-3536-4ba6-9ad5-e5ce0dbbad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D253A9A-6DC7-4FA1-AF78-9A17C6B0F5FE}">
  <ds:schemaRefs>
    <ds:schemaRef ds:uri="http://purl.org/dc/elements/1.1/"/>
    <ds:schemaRef ds:uri="http://schemas.microsoft.com/office/2006/metadata/properties"/>
    <ds:schemaRef ds:uri="http://schemas.openxmlformats.org/package/2006/metadata/core-properties"/>
    <ds:schemaRef ds:uri="http://www.w3.org/XML/1998/namespace"/>
    <ds:schemaRef ds:uri="f7ad296a-57ff-428c-b4cb-07edbf36982d"/>
    <ds:schemaRef ds:uri="2d161a28-3536-4ba6-9ad5-e5ce0dbbadc5"/>
    <ds:schemaRef ds:uri="http://schemas.microsoft.com/office/2006/documentManagement/types"/>
    <ds:schemaRef ds:uri="http://purl.org/dc/dcmitype/"/>
    <ds:schemaRef ds:uri="http://schemas.microsoft.com/office/infopath/2007/PartnerControls"/>
    <ds:schemaRef ds:uri="http://purl.org/dc/terms/"/>
  </ds:schemaRefs>
</ds:datastoreItem>
</file>

<file path=customXml/itemProps3.xml><?xml version="1.0" encoding="utf-8"?>
<ds:datastoreItem xmlns:ds="http://schemas.openxmlformats.org/officeDocument/2006/customXml" ds:itemID="{1632C448-2796-4273-B186-9F60F8DD736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Questions</vt:lpstr>
      <vt:lpstr>Raw Data</vt:lpstr>
      <vt:lpstr>Cleaned Data &amp; Pivot Table</vt:lpstr>
      <vt:lpstr>Dashboard</vt:lpstr>
      <vt:lpstr>Insights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Michael Owen</cp:lastModifiedBy>
  <cp:revision/>
  <dcterms:created xsi:type="dcterms:W3CDTF">2025-10-21T16:08:46Z</dcterms:created>
  <dcterms:modified xsi:type="dcterms:W3CDTF">2026-10-08T14:56:31Z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0x0101003B13CFFDAAE59C4CA678E7EE4E73178D</vt:lpwstr>
  </property>
  <property fmtid="{D5CDD505-2E9C-101B-9397-08002B2CF9AE}" pid="3" name="MediaServiceImageTags">
    <vt:lpwstr/>
  </property>
  <property fmtid="{D5CDD505-2E9C-101B-9397-08002B2CF9AE}" pid="4" name="xd_ProgID">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xd_Signature">
    <vt:bool>false</vt:bool>
  </property>
</Properties>
</file>